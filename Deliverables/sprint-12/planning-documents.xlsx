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Mid Burndown Chart" sheetId="11" r:id="rId14"/>
    <sheet state="visible" name="Final Project Release plan" sheetId="12" r:id="rId15"/>
    <sheet state="visible" name="Final Burndown Chart" sheetId="13" r:id="rId16"/>
    <sheet state="visible" name="Definition of Done" sheetId="14" r:id="rId17"/>
    <sheet state="visible" name="Documentation" sheetId="15" r:id="rId18"/>
    <sheet state="visible" name="Bill of Materials" sheetId="16" r:id="rId19"/>
    <sheet state="visible" name="Planning Poker" sheetId="17" r:id="rId20"/>
  </sheets>
  <definedNames/>
  <calcPr/>
</workbook>
</file>

<file path=xl/sharedStrings.xml><?xml version="1.0" encoding="utf-8"?>
<sst xmlns="http://schemas.openxmlformats.org/spreadsheetml/2006/main" count="607" uniqueCount="446">
  <si>
    <t>Project Name</t>
  </si>
  <si>
    <t>RTDIP Timeseries Forecasting</t>
  </si>
  <si>
    <t>Online team meeting</t>
  </si>
  <si>
    <t>https://fau.zoom-x.de/j/65502405196?pwd=8H73lyixQfqKrnO8Eb47kawnuKCnGp.1</t>
  </si>
  <si>
    <t>Production system (if any)</t>
  </si>
  <si>
    <t>Test system (if any)</t>
  </si>
  <si>
    <t>GitHub repository</t>
  </si>
  <si>
    <t>https://github.com/amosproj/amos2025ws03-rtdip-timeseries-forecasting</t>
  </si>
  <si>
    <t>GitHub feature board</t>
  </si>
  <si>
    <t>https://github.com/orgs/amosproj/projects/91/</t>
  </si>
  <si>
    <t>GitHub imp-squared backlog</t>
  </si>
  <si>
    <t>https://github.com/orgs/amosproj/projects/96</t>
  </si>
  <si>
    <t>Team T-shirt (white)</t>
  </si>
  <si>
    <t>https://www.shirtinator.de/s/QWcDXTKGS72ISnrRNZq1hg</t>
  </si>
  <si>
    <t>Team T-shirt (black)</t>
  </si>
  <si>
    <t>https://www.shirtinator.de/s/0yx3duRjSzW-5hP32KmZ1w</t>
  </si>
  <si>
    <t>Additional materials</t>
  </si>
  <si>
    <t>https://discord.gg/KJXGmjcs</t>
  </si>
  <si>
    <t>Team maling list</t>
  </si>
  <si>
    <t>oss-amos-projX@lists.fau.de</t>
  </si>
  <si>
    <t>Happines Index App</t>
  </si>
  <si>
    <t>https://happy-amos.appspot.com/Courses</t>
  </si>
  <si>
    <t>Planning Poker</t>
  </si>
  <si>
    <t>https://planningpokeronline.com/DMhnF5cOAk9ffF5jsRf2/</t>
  </si>
  <si>
    <t>Last Name</t>
  </si>
  <si>
    <t>First Name</t>
  </si>
  <si>
    <t>GitHub User Name</t>
  </si>
  <si>
    <t>Email Address</t>
  </si>
  <si>
    <t>Böhm</t>
  </si>
  <si>
    <t>Luca</t>
  </si>
  <si>
    <t>qw3rat</t>
  </si>
  <si>
    <t>luca.boehm@fau.de</t>
  </si>
  <si>
    <t>Meusling</t>
  </si>
  <si>
    <t>Patrick</t>
  </si>
  <si>
    <t>SirGankalot</t>
  </si>
  <si>
    <t>meusling@campus.tu-berlin.de</t>
  </si>
  <si>
    <t>Arifin</t>
  </si>
  <si>
    <t>Hafidz</t>
  </si>
  <si>
    <t>zenzeii</t>
  </si>
  <si>
    <t>h.arifin@campus.tu-berlin.de</t>
  </si>
  <si>
    <t>Huy</t>
  </si>
  <si>
    <t>Christoph</t>
  </si>
  <si>
    <t>Perimora</t>
  </si>
  <si>
    <t>christoph.huy@campus.tu-berlin.de</t>
  </si>
  <si>
    <t>Selbig</t>
  </si>
  <si>
    <t>Simon</t>
  </si>
  <si>
    <t>simonselbig</t>
  </si>
  <si>
    <t>simon.selbig@gmx.de</t>
  </si>
  <si>
    <t>Haseeb</t>
  </si>
  <si>
    <t>Abdul</t>
  </si>
  <si>
    <t>abdulhaseeb-se</t>
  </si>
  <si>
    <t>abdul.ah.haseeb@fau.de</t>
  </si>
  <si>
    <t>Pohnke</t>
  </si>
  <si>
    <t>Hannes</t>
  </si>
  <si>
    <t>hpfref</t>
  </si>
  <si>
    <t>hannes.j.pohnke@gmail.com</t>
  </si>
  <si>
    <t>Jokiel</t>
  </si>
  <si>
    <t>Rene</t>
  </si>
  <si>
    <t>BelmontR</t>
  </si>
  <si>
    <t>rene.jokiel@fau.de</t>
  </si>
  <si>
    <t>Khabouze</t>
  </si>
  <si>
    <t>Mehdi</t>
  </si>
  <si>
    <t>Mehdi-kbz</t>
  </si>
  <si>
    <t>khabouze@campus.tu-berlin.de</t>
  </si>
  <si>
    <t>Product Owner</t>
  </si>
  <si>
    <t>#</t>
  </si>
  <si>
    <t>Meeting Day</t>
  </si>
  <si>
    <t>Review</t>
  </si>
  <si>
    <t>Planning</t>
  </si>
  <si>
    <t>Software Developer</t>
  </si>
  <si>
    <t>Release Manager</t>
  </si>
  <si>
    <t>Scrum Master</t>
  </si>
  <si>
    <t>Comment</t>
  </si>
  <si>
    <t>Patrick Meusling</t>
  </si>
  <si>
    <t>Hafidz Arifin</t>
  </si>
  <si>
    <t>Everyone else</t>
  </si>
  <si>
    <t>N/A</t>
  </si>
  <si>
    <t>Mehdi Khabouze</t>
  </si>
  <si>
    <t>Rene Jokiel</t>
  </si>
  <si>
    <t>Abdul Haseeb</t>
  </si>
  <si>
    <t>Hannes Pohnke</t>
  </si>
  <si>
    <t>Simon Selbig</t>
  </si>
  <si>
    <t>Mid-term due</t>
  </si>
  <si>
    <t>Christoph Huy</t>
  </si>
  <si>
    <t>Demo day!</t>
  </si>
  <si>
    <t>Retrospective</t>
  </si>
  <si>
    <t>Product owners, software developers, and Scurm Master are set and ideally don't change over time; the critical part is the Release Manager role you need to define here</t>
  </si>
  <si>
    <t>Goals</t>
  </si>
  <si>
    <t>Aquire new skills</t>
  </si>
  <si>
    <t>Produce a functioning and valuable product (a 1.0)</t>
  </si>
  <si>
    <t>Meeting norms</t>
  </si>
  <si>
    <t>We respect the opinions of others and we show up on time</t>
  </si>
  <si>
    <t>Summary of Partner Meeting required</t>
  </si>
  <si>
    <t>Working norms</t>
  </si>
  <si>
    <t>Clean, testable code with clear commit messages, code comments</t>
  </si>
  <si>
    <t>We respect other people's work</t>
  </si>
  <si>
    <t>Coordination norms</t>
  </si>
  <si>
    <t xml:space="preserve">Seperate branches for issues, second person review </t>
  </si>
  <si>
    <t>We balance workload among the team</t>
  </si>
  <si>
    <t>Communication norms</t>
  </si>
  <si>
    <t>Daily check the corresponding channels (discord)</t>
  </si>
  <si>
    <t>We communicate constructively, make sure to communicate possible problems (absence, etc.)</t>
  </si>
  <si>
    <t>Consideration norms</t>
  </si>
  <si>
    <t>We discuss issues openly</t>
  </si>
  <si>
    <t>We vote in case we can't reach a consensus</t>
  </si>
  <si>
    <t>Cont. improvement norms</t>
  </si>
  <si>
    <t>We encourage critique and improvement efforts</t>
  </si>
  <si>
    <t>Encourage reaching out for help (use the strength/skills of others)</t>
  </si>
  <si>
    <t>Rewards</t>
  </si>
  <si>
    <t>We treat ourselfes to a sweet of choice for good work</t>
  </si>
  <si>
    <t>Sanctions</t>
  </si>
  <si>
    <t>Push Ups (amount decided on the case)</t>
  </si>
  <si>
    <t>Signatures</t>
  </si>
  <si>
    <t>Luca Böhm</t>
  </si>
  <si>
    <t>Product owner</t>
  </si>
  <si>
    <t>Software developer</t>
  </si>
  <si>
    <t>Product Vision</t>
  </si>
  <si>
    <t>Project Mission</t>
  </si>
  <si>
    <t>To empower organizations with open-source, scalable, and transparent forecasting capabilities that enable data-driven decision-making across industries.
By extending RTDIP with advanced forecasting and anomaly detection components as well as sector specific datasets, we envision a future where time series insights such as trends, seasonality, and predictive patterns are seamlessly integrated into real-time data pipelines.
This will allow businesses to understand historical data, anticipate future behavior, optimize operations, and improve efficiency using accessible, community-driven, and production-ready forecasting tools.</t>
  </si>
  <si>
    <t>To design, develop, and contribute open-source forecasting components for the RTDIP platform that enable trend analysis, anomaly detection, and predictive modeling on time series data.
Our mission within this project is to research and implement forecasting techniques using Python and Apache Spark, validate and enricht them with real-world datasets, and ensure they meet RTDIP’s modular, tested, and well-documented standards.
By doing so, we will enhance RTDIP’s functionality and provide the open-source community and industry users such as Shell with reliable, scalable forecasting capabilities that integrate seamlessly into existing data pipelines.</t>
  </si>
  <si>
    <t>Term</t>
  </si>
  <si>
    <t>Definition</t>
  </si>
  <si>
    <t>RTDIP (Real-Time Data Ingestion Platform)</t>
  </si>
  <si>
    <t>An open-source project under the Linux Foundation designed to simplify the ingestion, transformation, and storage of data from various sources using scalable cloud technologies.</t>
  </si>
  <si>
    <t>Forecasting</t>
  </si>
  <si>
    <t>The process of predicting future values or trends based on historical time series data.</t>
  </si>
  <si>
    <t>Time Series Data</t>
  </si>
  <si>
    <t>Data collected over time at regular intervals, often used to analyze patterns such as trends and seasonality.</t>
  </si>
  <si>
    <t>Apache Spark</t>
  </si>
  <si>
    <t>An open-source distributed computing system that provides fast data processing for large-scale datasets.</t>
  </si>
  <si>
    <t>PySpark</t>
  </si>
  <si>
    <t>The Python API for Apache Spark, allowing developers to write Spark applications using Python.</t>
  </si>
  <si>
    <t>Delta Lake</t>
  </si>
  <si>
    <t>A storage layer that brings reliability, consistency, and performance to data lakes by supporting ACID transactions and schema enforcement.</t>
  </si>
  <si>
    <t>Anomaly Detection</t>
  </si>
  <si>
    <t>The identification of unusual patterns or outliers in data that do not conform to expected behavior.</t>
  </si>
  <si>
    <t>Predictive Modeling</t>
  </si>
  <si>
    <t>A statistical or machine learning approach that uses historical data to predict future outcomes.</t>
  </si>
  <si>
    <t>Time Series Decomposition</t>
  </si>
  <si>
    <t>The process of breaking down a time series into its core components such as trend, seasonality, and residuals.</t>
  </si>
  <si>
    <t>ETL (Extract, Transform, Load)</t>
  </si>
  <si>
    <t>A data pipeline process that extracts data from sources, transforms it into a suitable format, and loads it into a storage system.</t>
  </si>
  <si>
    <t>Open Source</t>
  </si>
  <si>
    <t>Software that is freely available to use, modify, and distribute, typically developed collaboratively by a community.</t>
  </si>
  <si>
    <t>Linux Foundation</t>
  </si>
  <si>
    <t>A nonprofit organization that supports open-source software projects and fosters collaboration across industries.</t>
  </si>
  <si>
    <t>EasyCLA (Easy Contributor License Agreement)</t>
  </si>
  <si>
    <t>A system used by the Linux Foundation to manage contributor license agreements, ensuring legal compliance for open-source contributions.</t>
  </si>
  <si>
    <t>Modular Architecture</t>
  </si>
  <si>
    <t>A software design principle that divides a system into separate, interchangeable components that can be developed and maintained independently.</t>
  </si>
  <si>
    <t>Unit Testing</t>
  </si>
  <si>
    <t>The practice of testing individual units or components of software to ensure they work as intended.</t>
  </si>
  <si>
    <t>Documentation</t>
  </si>
  <si>
    <t>Written descriptions and guides that explain the design, usage, and functionality of a software system.</t>
  </si>
  <si>
    <t>Data Pipeline</t>
  </si>
  <si>
    <t>A set of processes that move, transform, and store data from one system to another in a structured and automated way.</t>
  </si>
  <si>
    <t>Scalability</t>
  </si>
  <si>
    <t>The ability of a system to handle increasing amounts of work or data by adding resources.</t>
  </si>
  <si>
    <t>Contribution Guidelines</t>
  </si>
  <si>
    <t>A set of rules and best practices that contributors must follow to ensure consistency and quality in open-source projects.</t>
  </si>
  <si>
    <t>Sprint #</t>
  </si>
  <si>
    <t>Sprint goal</t>
  </si>
  <si>
    <t>None</t>
  </si>
  <si>
    <t>Optional</t>
  </si>
  <si>
    <t>Establish a working foundation for the forecasting pipeline</t>
  </si>
  <si>
    <t>Integrate the pipeline into the existing software</t>
  </si>
  <si>
    <t>Advance the pipeline</t>
  </si>
  <si>
    <t>Add more Datasets to the pipeline</t>
  </si>
  <si>
    <t>Testing and Analysing the new Datasets</t>
  </si>
  <si>
    <t xml:space="preserve">Adding new and diffrent models to the pipeline </t>
  </si>
  <si>
    <t>Testing and Analysing the new Models</t>
  </si>
  <si>
    <t>Finalize the Product</t>
  </si>
  <si>
    <t>Finalize for Demo day</t>
  </si>
  <si>
    <t xml:space="preserve">Merging the product with the partner, coordinating the merge (they said this might take a bit of time) </t>
  </si>
  <si>
    <t>Backup Sprint</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</si>
  <si>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</si>
  <si>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</si>
  <si>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</si>
  <si>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</si>
  <si>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</si>
  <si>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</si>
  <si>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</si>
  <si>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</si>
  <si>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</si>
  <si>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</si>
  <si>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</si>
  <si>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</si>
  <si>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</si>
  <si>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</si>
  <si>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</si>
  <si>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Run the software on your own machine</t>
  </si>
  <si>
    <t>Understanding the rtdip software</t>
  </si>
  <si>
    <t>Software Architecture</t>
  </si>
  <si>
    <t>Find open source time series datasets</t>
  </si>
  <si>
    <t>Initialize software bill of materials</t>
  </si>
  <si>
    <t>Research about time series forecasting fundamentals</t>
  </si>
  <si>
    <t>Research Possible Models Useful for Shell Dataset</t>
  </si>
  <si>
    <t>Update our Forked Repository with Latest RTDIP Release</t>
  </si>
  <si>
    <t>Prepare and Demo Project Build Process</t>
  </si>
  <si>
    <t>Perform Data Exploration on Shell Dataset</t>
  </si>
  <si>
    <t>Getting to Know HPC of AMOS</t>
  </si>
  <si>
    <t>Dropped from Backlog</t>
  </si>
  <si>
    <t>Perform Data Exploration on Opensource Dataset 1</t>
  </si>
  <si>
    <t>Preprocess Shell Dataset</t>
  </si>
  <si>
    <t>Implementing a basic Model pipeline</t>
  </si>
  <si>
    <t>Research Possible Models Userful fo Opensource Dataset</t>
  </si>
  <si>
    <t>CI/CD Pipeline fail bug</t>
  </si>
  <si>
    <t>Choosing Models, Datasets, Error Measure Metrics</t>
  </si>
  <si>
    <t>Create Build Process Video</t>
  </si>
  <si>
    <t>Model Training and Evaluation with Shell Dataset</t>
  </si>
  <si>
    <t>Visualization of Results</t>
  </si>
  <si>
    <t>Preprocess Opensource Dataset 1</t>
  </si>
  <si>
    <t>PO Homework</t>
  </si>
  <si>
    <t>Model Deployment Pipeline into RTDIP</t>
  </si>
  <si>
    <t>User/Design/Build Documentation</t>
  </si>
  <si>
    <t>Repository Structure Refactor</t>
  </si>
  <si>
    <t>Update Software Architecture</t>
  </si>
  <si>
    <t>Set Up Unified Development Environment</t>
  </si>
  <si>
    <t>Collect and Document Customer Feedback on Project Progress</t>
  </si>
  <si>
    <t>Preprocess Opensource SCADA</t>
  </si>
  <si>
    <t>PLEASE CREATE THE BURNDOWN CHART ON A NEW TAB USING THE DATA FROM THIS TAB</t>
  </si>
  <si>
    <t>Different Methods to Improve Forecast Accuracy</t>
  </si>
  <si>
    <t>Customer Feedback and Adjustments</t>
  </si>
  <si>
    <t>Improving Forecast Accuracy</t>
  </si>
  <si>
    <t>Finish the Product</t>
  </si>
  <si>
    <t>Demo Day Preparation</t>
  </si>
  <si>
    <t>Finish the Project</t>
  </si>
  <si>
    <t>Adjust and Fix CI/CD Pipeline</t>
  </si>
  <si>
    <t>Model Optimization and Improvement</t>
  </si>
  <si>
    <t>Implementation of Time Series Decomposition</t>
  </si>
  <si>
    <t>Implementation of Anomaly Detection</t>
  </si>
  <si>
    <t>Model Training and Evaluation of Dataset SCADA</t>
  </si>
  <si>
    <t>Perform Data Exploration additional Opensource Dataset</t>
  </si>
  <si>
    <t>Implement RTDIP Ingestion</t>
  </si>
  <si>
    <t>Restructure and Refactor Wiki</t>
  </si>
  <si>
    <t>Standardize Visualization</t>
  </si>
  <si>
    <t>Model Optimization and Improvement for Timeseries Forecasting</t>
  </si>
  <si>
    <t>Optimization and Improvement of Anomaly Detection Approach</t>
  </si>
  <si>
    <t>Timeseries Forecasting Improvement with Other Models (Person 1)</t>
  </si>
  <si>
    <t>Integrate Timeseries Forecasting Results Visualization into the SDK</t>
  </si>
  <si>
    <t>Apply Timeseries Decomposition on shell Dataset</t>
  </si>
  <si>
    <t>Timeseries Forecasting Improvement with Other Models (Person 2)</t>
  </si>
  <si>
    <t>Refactor Components for Spark-Compatible API</t>
  </si>
  <si>
    <t>Document previous features in the software architecture</t>
  </si>
  <si>
    <t>Adjusting previous features to base enviroment</t>
  </si>
  <si>
    <t>Base Enviroment</t>
  </si>
  <si>
    <t>Add Visualiualization Component for Anomaly Detection</t>
  </si>
  <si>
    <t>SCADA Decomposition</t>
  </si>
  <si>
    <t>Refactor Wiki</t>
  </si>
  <si>
    <t>Add Visualization Component for Timeseries Decomposition</t>
  </si>
  <si>
    <t>Preprocessing of 3W_Dataset</t>
  </si>
  <si>
    <t>Assesment of Robustness and long time predictions</t>
  </si>
  <si>
    <t>Anomaly Detection and Evaluating 3W_Dataset</t>
  </si>
  <si>
    <t>Training, Forecasting and Evaluating 3W_Dataset</t>
  </si>
  <si>
    <t>Make all Datasets Running with All Models and Evaluate All</t>
  </si>
  <si>
    <t>Merge Preparation</t>
  </si>
  <si>
    <t>Create demo day slide</t>
  </si>
  <si>
    <t>Create demo video</t>
  </si>
  <si>
    <t>Finalize user, (technical) design, and build/deploy documentation</t>
  </si>
  <si>
    <t>Final Refactoring and Cleaning Up Repository</t>
  </si>
  <si>
    <t>Create Project Report</t>
  </si>
  <si>
    <t>Tasks related to Industry Partner</t>
  </si>
  <si>
    <t>Merging the code with main repo of partner</t>
  </si>
  <si>
    <t>Final Bug Fixes</t>
  </si>
  <si>
    <t>Feature Definition of Done</t>
  </si>
  <si>
    <t>Sprint Release Definition of Done</t>
  </si>
  <si>
    <t>Project Release Definition of Done</t>
  </si>
  <si>
    <t>Acceptance criteria are met.</t>
  </si>
  <si>
    <t>Work are pushed to the Github repository.</t>
  </si>
  <si>
    <t>Create a branch for each backlog items (coding)</t>
  </si>
  <si>
    <t>A pull request is created for each related branch.</t>
  </si>
  <si>
    <t>The work products in the pull requests are reviewed.</t>
  </si>
  <si>
    <t>The corresponding branches are merged and closed.</t>
  </si>
  <si>
    <t>The bill of materials section of the planning documents is updated.</t>
  </si>
  <si>
    <t>Work needs to be documented in the corresponding wiki section</t>
  </si>
  <si>
    <t>For new features unit test have to be written.</t>
  </si>
  <si>
    <t>Update our forked repository with the latest RTDIP release.</t>
  </si>
  <si>
    <t>If the task involves coding, the implementation is integrated into the RTDIP framework and verified to function correctly within it.</t>
  </si>
  <si>
    <t>All unit tests must pass successfully in the continuous integration (CI) pipeline.</t>
  </si>
  <si>
    <t>All assignees must communicate and coordinate with each other to complete the task.</t>
  </si>
  <si>
    <t>Release candidates with a working and meaningful update to the previous sprint is tagged.</t>
  </si>
  <si>
    <t>Previously established features must continue to work.</t>
  </si>
  <si>
    <t>The RTDIP forecasting components can be successfully built and deployed within the RTDIP environment.</t>
  </si>
  <si>
    <t>All automated tests and validation checks for the developed components pass without errors.</t>
  </si>
  <si>
    <t>The implemented forecasting features have been tested end-to-end and verified through a basic user workflow.</t>
  </si>
  <si>
    <t>Developer documentation is complete, clearly describing the architecture, setup, and contribution process for RTDIP.</t>
  </si>
  <si>
    <t>User documentation (usage examples, configuration steps, expected outputs) is finalized and up to date.</t>
  </si>
  <si>
    <t>The final release has been reviewed and approved by all project team members and the industry partner (Shell).</t>
  </si>
  <si>
    <t>Type</t>
  </si>
  <si>
    <t>Link / reference</t>
  </si>
  <si>
    <t>User Documentation</t>
  </si>
  <si>
    <t>https://github.com/amosproj/amos2025ws03-rtdip-timeseries-forecasting/wiki/Documentation#user-documentation</t>
  </si>
  <si>
    <t>Design Documentation</t>
  </si>
  <si>
    <t>https://github.com/amosproj/amos2025ws03-rtdip-timeseries-forecasting/wiki/Documentation#design-documentation</t>
  </si>
  <si>
    <t>Build &amp; Deploy Documentation</t>
  </si>
  <si>
    <t>https://github.com/amosproj/amos2025ws03-rtdip-timeseries-forecasting/wiki/Documentation#build-and-deploy-documentation</t>
  </si>
  <si>
    <t>Project:</t>
  </si>
  <si>
    <t>RTIP - Forecasting and Anomaly Detection</t>
  </si>
  <si>
    <t>System Components</t>
  </si>
  <si>
    <t>First Level Dependencies and Runtimes</t>
  </si>
  <si>
    <t>Tools</t>
  </si>
  <si>
    <t>Version</t>
  </si>
  <si>
    <t>0.2.0 (Sprint05)</t>
  </si>
  <si>
    <t>Date</t>
  </si>
  <si>
    <t>28.10.2025</t>
  </si>
  <si>
    <t>Last updated</t>
  </si>
  <si>
    <t>25.11.2025</t>
  </si>
  <si>
    <t>Name</t>
  </si>
  <si>
    <t>Category</t>
  </si>
  <si>
    <t>Source</t>
  </si>
  <si>
    <t>Description</t>
  </si>
  <si>
    <t>License</t>
  </si>
  <si>
    <t>Vendor</t>
  </si>
  <si>
    <t>Environment</t>
  </si>
  <si>
    <t>Development</t>
  </si>
  <si>
    <t>ML Component</t>
  </si>
  <si>
    <t>src/sdk/python/rtdip_sdk/pipelines/forecasting</t>
  </si>
  <si>
    <t>Train / Prediction with Forecasting Models.</t>
  </si>
  <si>
    <t>Python</t>
  </si>
  <si>
    <t>Runtime</t>
  </si>
  <si>
    <t>3.9 &lt; 3.12.11</t>
  </si>
  <si>
    <t>PSF</t>
  </si>
  <si>
    <t>Python Software Foundation</t>
  </si>
  <si>
    <t>Core runtime for all SDK and ML components.</t>
  </si>
  <si>
    <t>git</t>
  </si>
  <si>
    <t>Development / Publish</t>
  </si>
  <si>
    <t>2.43.0</t>
  </si>
  <si>
    <t>Distributed version control system used for source code management and collaborative development.</t>
  </si>
  <si>
    <t>Authors</t>
  </si>
  <si>
    <t>Transformer</t>
  </si>
  <si>
    <t>ML Pre-Processing</t>
  </si>
  <si>
    <t>src/sdk/python/rtdip_sdk/pipelines/transformers/spark/machine_learning</t>
  </si>
  <si>
    <t>Data / Feature pre-processing for ML components.</t>
  </si>
  <si>
    <t>OpenJDK</t>
  </si>
  <si>
    <t>11.0.29</t>
  </si>
  <si>
    <t>GPL v2 + Classpath Exception</t>
  </si>
  <si>
    <t>OpenJDK Community</t>
  </si>
  <si>
    <t>Java Virtual Machine required for Apache Spark and Delta Lake.</t>
  </si>
  <si>
    <t>VS Code</t>
  </si>
  <si>
    <t>1.105.1</t>
  </si>
  <si>
    <t>Integrated development environment used for coding, debugging, documentation editing, and Git integration.</t>
  </si>
  <si>
    <t>Data Manipulator</t>
  </si>
  <si>
    <t>Data Quality</t>
  </si>
  <si>
    <t>src/sdk/python/rtdip_sdk/pipelines/data_quality/data_manipulation</t>
  </si>
  <si>
    <t>Alters data to ensure data quality.</t>
  </si>
  <si>
    <t>Apache Spark (PySpark)</t>
  </si>
  <si>
    <t>3.5.5</t>
  </si>
  <si>
    <t>Apache-2.0</t>
  </si>
  <si>
    <t>Apache Software Foundation</t>
  </si>
  <si>
    <t>Distributed compute engine for ETL, data quality and forecasting pipelines.</t>
  </si>
  <si>
    <t>Conda</t>
  </si>
  <si>
    <t xml:space="preserve">Development / Build </t>
  </si>
  <si>
    <t>25.5.1</t>
  </si>
  <si>
    <t>Environment and package management system ensuring reproducible builds and dependency control.</t>
  </si>
  <si>
    <t>Monitor</t>
  </si>
  <si>
    <t>src/sdk/python/rtdip_sdk/pipelines/data_quality/monitoring</t>
  </si>
  <si>
    <t>Monitors quality of time-series data.</t>
  </si>
  <si>
    <t>Delta Lake (delta-spark)</t>
  </si>
  <si>
    <t>3.0.0</t>
  </si>
  <si>
    <t>Linux Foundation / Databricks Open Source</t>
  </si>
  <si>
    <t>Transactional storage layer enabling ACID and time-travel on Parquet data.</t>
  </si>
  <si>
    <t>Data Extraction</t>
  </si>
  <si>
    <t>src/sdk/python/rtdip_sdk/pipelines/sources</t>
  </si>
  <si>
    <t>Ingest data source.</t>
  </si>
  <si>
    <t>pandas</t>
  </si>
  <si>
    <t>Library</t>
  </si>
  <si>
    <t>2.3.3</t>
  </si>
  <si>
    <t>BSD-3-Clause</t>
  </si>
  <si>
    <t>PyData / NumFOCUS</t>
  </si>
  <si>
    <t>Core data-processing library providing DataFrame operations and ETL utilities.</t>
  </si>
  <si>
    <t>Delta Storage</t>
  </si>
  <si>
    <t>Data Storage</t>
  </si>
  <si>
    <t>external (delta-spark)</t>
  </si>
  <si>
    <t>Provides raw time-series data for ingestion and processing.</t>
  </si>
  <si>
    <t>polars</t>
  </si>
  <si>
    <t>0.20.31</t>
  </si>
  <si>
    <t>MIT</t>
  </si>
  <si>
    <t>Polars Contributors</t>
  </si>
  <si>
    <t>Fast DataFrame engine written in Rust for high-performance data manipulation.</t>
  </si>
  <si>
    <t>pyarrow</t>
  </si>
  <si>
    <t>15.0.2</t>
  </si>
  <si>
    <t>Columnar data access and Parquet I/O layer for Spark and Delta components.</t>
  </si>
  <si>
    <t>scikit-learn</t>
  </si>
  <si>
    <t>1.7.2</t>
  </si>
  <si>
    <t>Scikit-learn Developers / NumFOCUS</t>
  </si>
  <si>
    <t>Machine-learning algorithms and preprocessing utilities for forecasting and modeling.</t>
  </si>
  <si>
    <t>Upcomming</t>
  </si>
  <si>
    <t>statsmodels</t>
  </si>
  <si>
    <t>0.14.5</t>
  </si>
  <si>
    <t>Statsmodels Developers</t>
  </si>
  <si>
    <t>Statistical modeling and time-series forecasting framework (e.g., SARIMA).</t>
  </si>
  <si>
    <t>TBA</t>
  </si>
  <si>
    <t>Detects anomalies in time-series predictions.</t>
  </si>
  <si>
    <t>pmdarima</t>
  </si>
  <si>
    <t>2.0.4</t>
  </si>
  <si>
    <t>Alkha Management Group</t>
  </si>
  <si>
    <t>Automated ARIMA model selection and time-series forecasting.</t>
  </si>
  <si>
    <t>delta-spark</t>
  </si>
  <si>
    <t>Linux Foundation / Databricks</t>
  </si>
  <si>
    <t>Delta Lake Python API for ACID table management and versioned data.</t>
  </si>
  <si>
    <t>ML Artifacts</t>
  </si>
  <si>
    <t>databricks-sql-connector</t>
  </si>
  <si>
    <t>3.7.1</t>
  </si>
  <si>
    <t>Databricks Inc.</t>
  </si>
  <si>
    <t>JDBC-style SQL connector for querying Delta and Databricks tables.</t>
  </si>
  <si>
    <t>fastapi</t>
  </si>
  <si>
    <t>0.119.0</t>
  </si>
  <si>
    <t>Sebastián Ramírez</t>
  </si>
  <si>
    <t>High-performance web framework for building REST APIs and model endpoints.</t>
  </si>
  <si>
    <t>uvicorn</t>
  </si>
  <si>
    <t>0.37.0</t>
  </si>
  <si>
    <t>Encode OSS</t>
  </si>
  <si>
    <t>ASGI server providing runtime execution for FastAPI endpoints.</t>
  </si>
  <si>
    <t>azure-core / azure-identity / azure-storage-blob</t>
  </si>
  <si>
    <t>1.35 +</t>
  </si>
  <si>
    <t>Microsoft Azure SDK</t>
  </si>
  <si>
    <t>Core, authentication and blob-storage SDKs for Azure integration.</t>
  </si>
  <si>
    <t>pytest / pytest-cov</t>
  </si>
  <si>
    <t>7.4 / 4.1</t>
  </si>
  <si>
    <t>Pytest Community</t>
  </si>
  <si>
    <t>Unit and integration testing framework with coverage support.</t>
  </si>
  <si>
    <t>black / isort / pylint</t>
  </si>
  <si>
    <t>25.1 / 5.13 / 2.17</t>
  </si>
  <si>
    <t>MIT / BSD-3</t>
  </si>
  <si>
    <t>Python Software Foundation / PyCQA</t>
  </si>
  <si>
    <t>Code formatting and linting for CI quality assurance.</t>
  </si>
  <si>
    <t>mkdocs / mkdocs-material / mkdocstrings</t>
  </si>
  <si>
    <t>1.6 / 9.5 / 0.25</t>
  </si>
  <si>
    <t>MkDocs Community</t>
  </si>
  <si>
    <t>Documentation generation system for SDK and forecasting components.</t>
  </si>
  <si>
    <t>xgboost</t>
  </si>
  <si>
    <t>2.1.4</t>
  </si>
  <si>
    <t>Hyunsu Cho / Jiaming Yuan / XGBoost Dev Team</t>
  </si>
  <si>
    <t>High-performance gradient boosting library for regression, classification und Ranking-Tasks</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</si>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</sst>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25">
    <font>
      <sz val="10.0"/>
      <color rgb="FF000000"/>
      <name val="Arial"/>
    </font>
    <font>
      <b/>
      <name val="Arial"/>
    </font>
    <font>
      <name val="Arial"/>
    </font>
    <font>
      <u/>
      <color rgb="FF0000FF"/>
      <name val="Arial"/>
    </font>
    <font>
      <u/>
      <color rgb="FF1155CC"/>
      <name val="Arial"/>
    </font>
    <font>
      <u/>
      <color rgb="FF5AADF1"/>
      <name val="Arial"/>
    </font>
    <font>
      <u/>
      <color rgb="FF1155CC"/>
      <name val="Arial"/>
    </font>
    <font>
      <u/>
      <color rgb="FF1155CC"/>
      <name val="Arial"/>
    </font>
    <font>
      <u/>
      <color rgb="FF1155CC"/>
      <name val="Arial"/>
    </font>
    <font>
      <u/>
      <color rgb="FF1155CC"/>
      <name val="Arial"/>
    </font>
    <font>
      <b/>
      <color rgb="FF181A1B"/>
      <name val="Arial"/>
    </font>
    <font>
      <u/>
      <color rgb="FF0000FF"/>
      <name val="Arial"/>
    </font>
    <font/>
    <font>
      <b/>
    </font>
    <font>
      <color rgb="FF181A1B"/>
    </font>
    <font>
      <color rgb="FFFFFFFF"/>
      <name val="Arial"/>
    </font>
    <font>
      <color rgb="FF000000"/>
      <name val="Arial"/>
    </font>
    <font>
      <u/>
      <color rgb="FF0000FF"/>
    </font>
    <font>
      <b/>
      <sz val="11.0"/>
      <color rgb="FF000000"/>
      <name val="&quot;Aptos Narrow&quot;"/>
    </font>
    <font>
      <b/>
      <sz val="11.0"/>
      <color rgb="FF000000"/>
      <name val="Arial"/>
    </font>
    <font>
      <sz val="11.0"/>
      <color rgb="FF000000"/>
      <name val="&quot;Aptos Narrow&quot;"/>
    </font>
    <font>
      <sz val="11.0"/>
      <color rgb="FF000000"/>
      <name val="Arial"/>
    </font>
    <font>
      <i/>
      <sz val="11.0"/>
      <color rgb="FF000000"/>
      <name val="&quot;Aptos Narrow&quot;"/>
    </font>
    <font>
      <b/>
      <sz val="11.0"/>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top style="thin">
        <color rgb="FF000000"/>
      </top>
    </border>
  </borders>
  <cellStyleXfs count="1">
    <xf borderId="0" fillId="0" fontId="0" numFmtId="0" applyAlignment="1" applyFont="1"/>
  </cellStyleXfs>
  <cellXfs count="176">
    <xf borderId="0" fillId="0" fontId="0" numFmtId="0" xfId="0" applyAlignment="1" applyFont="1">
      <alignment readingOrder="0" shrinkToFit="0" vertical="bottom" wrapText="1"/>
    </xf>
    <xf borderId="0" fillId="2" fontId="1" numFmtId="0" xfId="0" applyAlignment="1" applyFill="1" applyFont="1">
      <alignment shrinkToFit="0" vertical="bottom" wrapText="1"/>
    </xf>
    <xf borderId="0" fillId="2" fontId="2" numFmtId="0" xfId="0" applyAlignment="1" applyFont="1">
      <alignment readingOrder="0" shrinkToFit="0" vertical="bottom" wrapText="1"/>
    </xf>
    <xf borderId="0" fillId="3" fontId="2" numFmtId="0" xfId="0" applyAlignment="1" applyFill="1" applyFont="1">
      <alignment shrinkToFit="0" vertical="bottom" wrapText="1"/>
    </xf>
    <xf borderId="0" fillId="4" fontId="1" numFmtId="0" xfId="0" applyAlignment="1" applyFill="1" applyFont="1">
      <alignment shrinkToFit="0" vertical="bottom" wrapText="1"/>
    </xf>
    <xf borderId="0" fillId="4" fontId="3" numFmtId="0" xfId="0" applyAlignment="1" applyFont="1">
      <alignment readingOrder="0" shrinkToFit="0" vertical="bottom" wrapText="1"/>
    </xf>
    <xf borderId="0" fillId="4" fontId="2" numFmtId="0" xfId="0" applyAlignment="1" applyFont="1">
      <alignment shrinkToFit="0" vertical="bottom"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4" numFmtId="0" xfId="0" applyAlignment="1" applyFont="1">
      <alignment shrinkToFit="0" vertical="bottom" wrapText="1"/>
    </xf>
    <xf borderId="0" fillId="4" fontId="5" numFmtId="0" xfId="0" applyAlignment="1" applyFont="1">
      <alignment readingOrder="0" shrinkToFit="0" vertical="bottom" wrapText="1"/>
    </xf>
    <xf borderId="0" fillId="3" fontId="6" numFmtId="0" xfId="0" applyAlignment="1" applyFont="1">
      <alignment shrinkToFit="0" vertical="bottom" wrapText="1"/>
    </xf>
    <xf borderId="0" fillId="3" fontId="7" numFmtId="0" xfId="0" applyAlignment="1" applyFont="1">
      <alignment readingOrder="0" shrinkToFit="0" vertical="bottom" wrapText="1"/>
    </xf>
    <xf borderId="0" fillId="4" fontId="8" numFmtId="0" xfId="0" applyAlignment="1" applyFont="1">
      <alignment readingOrder="0" shrinkToFit="0" vertical="bottom" wrapText="1"/>
    </xf>
    <xf borderId="0" fillId="4" fontId="1" numFmtId="0" xfId="0" applyAlignment="1" applyFont="1">
      <alignment shrinkToFit="0" vertical="bottom" wrapText="1"/>
    </xf>
    <xf borderId="0" fillId="4" fontId="9" numFmtId="0" xfId="0" applyAlignment="1" applyFont="1">
      <alignment shrinkToFit="0" vertical="bottom" wrapText="1"/>
    </xf>
    <xf borderId="0" fillId="4" fontId="10" numFmtId="0" xfId="0" applyAlignment="1" applyFont="1">
      <alignment shrinkToFit="0" vertical="bottom" wrapText="1"/>
    </xf>
    <xf borderId="0" fillId="3" fontId="1" numFmtId="0" xfId="0" applyAlignment="1" applyFont="1">
      <alignment readingOrder="0" shrinkToFit="0" vertical="bottom" wrapText="1"/>
    </xf>
    <xf borderId="0" fillId="3" fontId="11" numFmtId="0" xfId="0" applyAlignment="1" applyFont="1">
      <alignment readingOrder="0" shrinkToFit="0" vertical="bottom" wrapText="1"/>
    </xf>
    <xf borderId="0" fillId="2" fontId="1"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0" fontId="12" numFmtId="0" xfId="0" applyAlignment="1" applyFont="1">
      <alignment shrinkToFit="0" wrapText="0"/>
    </xf>
    <xf borderId="0" fillId="0" fontId="12" numFmtId="0" xfId="0" applyAlignment="1" applyFont="1">
      <alignment readingOrder="0" shrinkToFit="0" wrapText="0"/>
    </xf>
    <xf borderId="0" fillId="0" fontId="13" numFmtId="0" xfId="0" applyAlignment="1" applyFont="1">
      <alignment readingOrder="0" shrinkToFit="0" wrapText="0"/>
    </xf>
    <xf borderId="0" fillId="0" fontId="13" numFmtId="0" xfId="0" applyAlignment="1" applyFont="1">
      <alignment shrinkToFit="0"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1" numFmtId="0" xfId="0" applyAlignment="1" applyFont="1">
      <alignment horizontal="center" shrinkToFit="0" vertical="bottom" wrapText="0"/>
    </xf>
    <xf borderId="0" fillId="3" fontId="2" numFmtId="0" xfId="0" applyAlignment="1" applyFont="1">
      <alignment horizontal="center" shrinkToFit="0" vertical="bottom" wrapText="0"/>
    </xf>
    <xf borderId="0" fillId="3" fontId="2" numFmtId="164" xfId="0" applyAlignment="1" applyFont="1" applyNumberFormat="1">
      <alignment horizontal="right" shrinkToFit="0" vertical="bottom" wrapText="0"/>
    </xf>
    <xf borderId="0" fillId="3" fontId="2" numFmtId="165" xfId="0" applyAlignment="1" applyFont="1" applyNumberFormat="1">
      <alignment shrinkToFit="0" vertical="bottom" wrapText="1"/>
    </xf>
    <xf borderId="0" fillId="4" fontId="2" numFmtId="0" xfId="0" applyAlignment="1" applyFont="1">
      <alignment horizontal="center" shrinkToFit="0" vertical="bottom" wrapText="0"/>
    </xf>
    <xf borderId="0" fillId="4" fontId="2" numFmtId="164" xfId="0" applyAlignment="1" applyFont="1" applyNumberFormat="1">
      <alignment horizontal="right" shrinkToFit="0" vertical="bottom" wrapText="0"/>
    </xf>
    <xf borderId="0" fillId="4" fontId="2" numFmtId="165" xfId="0" applyAlignment="1" applyFont="1" applyNumberFormat="1">
      <alignment shrinkToFit="0" vertical="bottom" wrapText="1"/>
    </xf>
    <xf borderId="0" fillId="0" fontId="12" numFmtId="164" xfId="0" applyAlignment="1" applyFont="1" applyNumberFormat="1">
      <alignment readingOrder="0" shrinkToFit="0" wrapText="1"/>
    </xf>
    <xf borderId="0" fillId="4" fontId="2" numFmtId="0" xfId="0" applyAlignment="1" applyFont="1">
      <alignment readingOrder="0" shrinkToFit="0" vertical="bottom" wrapText="0"/>
    </xf>
    <xf borderId="0" fillId="0" fontId="14" numFmtId="164" xfId="0" applyAlignment="1" applyFont="1" applyNumberFormat="1">
      <alignment readingOrder="0" shrinkToFit="0" wrapText="1"/>
    </xf>
    <xf borderId="0" fillId="4" fontId="2" numFmtId="164" xfId="0" applyAlignment="1" applyFont="1" applyNumberFormat="1">
      <alignment horizontal="right" readingOrder="0" shrinkToFit="0" vertical="bottom" wrapText="0"/>
    </xf>
    <xf borderId="0" fillId="0" fontId="12" numFmtId="0" xfId="0" applyAlignment="1" applyFont="1">
      <alignment readingOrder="0" shrinkToFit="0" wrapText="1"/>
    </xf>
    <xf borderId="0" fillId="0" fontId="12" numFmtId="0" xfId="0" applyAlignment="1" applyFont="1">
      <alignment horizontal="center" readingOrder="0" shrinkToFit="0"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2" numFmtId="0" xfId="0" applyAlignment="1" applyFont="1">
      <alignment shrinkToFit="0" vertical="bottom" wrapText="1"/>
    </xf>
    <xf borderId="0" fillId="3" fontId="2" numFmtId="0" xfId="0" applyAlignment="1" applyFont="1">
      <alignment readingOrder="0" shrinkToFit="0" vertical="bottom" wrapText="1"/>
    </xf>
    <xf borderId="0" fillId="3" fontId="1" numFmtId="0" xfId="0" applyAlignment="1" applyFont="1">
      <alignment shrinkToFit="0" vertical="bottom" wrapText="1"/>
    </xf>
    <xf borderId="0" fillId="4" fontId="2" numFmtId="0" xfId="0" applyAlignment="1" applyFont="1">
      <alignment readingOrder="0" shrinkToFit="0" vertical="bottom" wrapText="1"/>
    </xf>
    <xf borderId="0" fillId="2" fontId="13" numFmtId="0" xfId="0" applyAlignment="1" applyFont="1">
      <alignment readingOrder="0" shrinkToFit="0" wrapText="1"/>
    </xf>
    <xf borderId="0" fillId="3" fontId="12" numFmtId="0" xfId="0" applyAlignment="1" applyFont="1">
      <alignment shrinkToFit="0" wrapText="1"/>
    </xf>
    <xf borderId="0" fillId="3" fontId="12" numFmtId="0" xfId="0" applyAlignment="1" applyFont="1">
      <alignment readingOrder="0" shrinkToFit="0" wrapText="1"/>
    </xf>
    <xf borderId="0" fillId="4" fontId="2" numFmtId="0" xfId="0" applyAlignment="1" applyFont="1">
      <alignment readingOrder="0" shrinkToFit="0" vertical="top" wrapText="1"/>
    </xf>
    <xf borderId="0" fillId="4" fontId="2" numFmtId="0" xfId="0" applyAlignment="1" applyFont="1">
      <alignment readingOrder="0" shrinkToFit="0" vertical="top" wrapText="1"/>
    </xf>
    <xf borderId="0" fillId="0" fontId="13" numFmtId="0" xfId="0" applyAlignment="1" applyFont="1">
      <alignment horizontal="center" readingOrder="0" shrinkToFit="0" vertical="top" wrapText="1"/>
    </xf>
    <xf borderId="0" fillId="0" fontId="13" numFmtId="0" xfId="0" applyAlignment="1" applyFont="1">
      <alignment horizontal="center" readingOrder="0" shrinkToFit="0" wrapText="1"/>
    </xf>
    <xf borderId="0" fillId="0" fontId="12" numFmtId="0" xfId="0" applyAlignment="1" applyFont="1">
      <alignment readingOrder="0" shrinkToFit="0" vertical="top" wrapText="1"/>
    </xf>
    <xf borderId="0" fillId="0" fontId="13" numFmtId="0" xfId="0" applyAlignment="1" applyFont="1">
      <alignment horizontal="left" readingOrder="0" shrinkToFit="0" wrapText="1"/>
    </xf>
    <xf borderId="0" fillId="0" fontId="13" numFmtId="0" xfId="0" applyAlignment="1" applyFont="1">
      <alignment readingOrder="0" shrinkToFit="0" wrapText="1"/>
    </xf>
    <xf borderId="0" fillId="0" fontId="12" numFmtId="0" xfId="0" applyAlignment="1" applyFont="1">
      <alignment horizontal="left" readingOrder="0" shrinkToFit="0" wrapText="1"/>
    </xf>
    <xf borderId="0" fillId="0" fontId="12" numFmtId="0" xfId="0" applyAlignment="1" applyFont="1">
      <alignment readingOrder="0" shrinkToFit="0" wrapText="1"/>
    </xf>
    <xf borderId="0" fillId="0" fontId="12" numFmtId="0" xfId="0" applyAlignment="1" applyFont="1">
      <alignment shrinkToFit="0" wrapText="1"/>
    </xf>
    <xf borderId="0" fillId="0" fontId="12" numFmtId="0" xfId="0" applyAlignment="1" applyFont="1">
      <alignment horizontal="left" shrinkToFit="0" wrapText="1"/>
    </xf>
    <xf borderId="0" fillId="5" fontId="13" numFmtId="0" xfId="0" applyAlignment="1" applyFill="1" applyFont="1">
      <alignment readingOrder="0" shrinkToFit="0" wrapText="1"/>
    </xf>
    <xf borderId="0" fillId="2" fontId="1" numFmtId="0" xfId="0" applyAlignment="1" applyFont="1">
      <alignment horizontal="left" shrinkToFit="0" vertical="bottom" wrapText="1"/>
    </xf>
    <xf borderId="0" fillId="2" fontId="1" numFmtId="0" xfId="0" applyAlignment="1" applyFont="1">
      <alignment shrinkToFit="0" vertical="bottom" wrapText="0"/>
    </xf>
    <xf borderId="0" fillId="2" fontId="1" numFmtId="0" xfId="0" applyAlignment="1" applyFont="1">
      <alignment shrinkToFit="0" vertical="bottom" wrapText="0"/>
    </xf>
    <xf borderId="0" fillId="2" fontId="1" numFmtId="0" xfId="0" applyAlignment="1" applyFont="1">
      <alignment horizontal="center"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shrinkToFit="0" vertical="bottom" wrapText="1"/>
    </xf>
    <xf borderId="0" fillId="6" fontId="1" numFmtId="0" xfId="0" applyAlignment="1" applyFill="1" applyFont="1">
      <alignment horizontal="left" shrinkToFit="0" vertical="bottom" wrapText="0"/>
    </xf>
    <xf borderId="0" fillId="6" fontId="2" numFmtId="0" xfId="0" applyAlignment="1" applyFont="1">
      <alignment shrinkToFit="0" vertical="bottom" wrapText="0"/>
    </xf>
    <xf borderId="0" fillId="6" fontId="2" numFmtId="0" xfId="0" applyAlignment="1" applyFont="1">
      <alignment shrinkToFit="0" vertical="bottom" wrapText="1"/>
    </xf>
    <xf borderId="0" fillId="4" fontId="1" numFmtId="0" xfId="0" applyAlignment="1" applyFont="1">
      <alignment shrinkToFit="0" vertical="bottom" wrapText="0"/>
    </xf>
    <xf borderId="0" fillId="0" fontId="12" numFmtId="0" xfId="0" applyAlignment="1" applyFont="1">
      <alignment shrinkToFit="0" wrapText="0"/>
    </xf>
    <xf borderId="0" fillId="4" fontId="2" numFmtId="0" xfId="0" applyAlignment="1" applyFont="1">
      <alignment shrinkToFit="0" vertical="bottom" wrapText="1"/>
    </xf>
    <xf borderId="0" fillId="4" fontId="2" numFmtId="0" xfId="0" applyAlignment="1" applyFont="1">
      <alignment horizontal="right" shrinkToFit="0" vertical="bottom" wrapText="0"/>
    </xf>
    <xf borderId="0" fillId="7" fontId="1" numFmtId="0" xfId="0" applyAlignment="1" applyFill="1" applyFont="1">
      <alignment horizontal="left" shrinkToFit="0" vertical="bottom" wrapText="0"/>
    </xf>
    <xf borderId="0" fillId="7" fontId="1" numFmtId="0" xfId="0" applyAlignment="1" applyFont="1">
      <alignment shrinkToFit="0" vertical="bottom" wrapText="0"/>
    </xf>
    <xf borderId="0" fillId="7" fontId="2" numFmtId="0" xfId="0" applyAlignment="1" applyFont="1">
      <alignment shrinkToFit="0" vertical="bottom" wrapText="1"/>
    </xf>
    <xf borderId="0" fillId="3" fontId="15" numFmtId="0" xfId="0" applyAlignment="1" applyFont="1">
      <alignment horizontal="center" shrinkToFit="0" vertical="bottom" wrapText="0"/>
    </xf>
    <xf borderId="0" fillId="4" fontId="2" numFmtId="0" xfId="0" applyAlignment="1" applyFont="1">
      <alignment horizontal="left" shrinkToFit="0" vertical="bottom" wrapText="1"/>
    </xf>
    <xf borderId="0" fillId="3" fontId="2" numFmtId="0" xfId="0" applyAlignment="1" applyFont="1">
      <alignment horizontal="right" shrinkToFit="0" vertical="bottom" wrapText="0"/>
    </xf>
    <xf borderId="0" fillId="3" fontId="2" numFmtId="0" xfId="0" applyAlignment="1" applyFont="1">
      <alignment horizontal="left" readingOrder="0" shrinkToFit="0" vertical="bottom" wrapText="1"/>
    </xf>
    <xf borderId="0" fillId="3" fontId="2" numFmtId="0" xfId="0" applyAlignment="1" applyFont="1">
      <alignment readingOrder="0" shrinkToFit="0" vertical="bottom" wrapText="0"/>
    </xf>
    <xf borderId="0" fillId="3" fontId="2" numFmtId="0" xfId="0" applyAlignment="1" applyFont="1">
      <alignment readingOrder="0" shrinkToFit="0" vertical="bottom" wrapText="1"/>
    </xf>
    <xf borderId="0" fillId="4" fontId="2" numFmtId="0" xfId="0" applyAlignment="1" applyFont="1">
      <alignment shrinkToFit="0" vertical="bottom" wrapText="0"/>
    </xf>
    <xf borderId="0" fillId="8" fontId="1" numFmtId="0" xfId="0" applyAlignment="1" applyFill="1" applyFont="1">
      <alignment horizontal="left" shrinkToFit="0" vertical="bottom" wrapText="0"/>
    </xf>
    <xf borderId="0" fillId="8" fontId="1" numFmtId="0" xfId="0" applyAlignment="1" applyFont="1">
      <alignment shrinkToFit="0" vertical="bottom" wrapText="0"/>
    </xf>
    <xf borderId="0" fillId="8" fontId="2" numFmtId="0" xfId="0" applyAlignment="1" applyFont="1">
      <alignment shrinkToFit="0" vertical="bottom" wrapText="1"/>
    </xf>
    <xf borderId="0" fillId="3" fontId="1" numFmtId="0" xfId="0" applyAlignment="1" applyFont="1">
      <alignment horizontal="left" shrinkToFit="0" vertical="bottom" wrapText="0"/>
    </xf>
    <xf borderId="0" fillId="3" fontId="1" numFmtId="0" xfId="0" applyAlignment="1" applyFont="1">
      <alignment shrinkToFit="0" vertical="bottom" wrapText="0"/>
    </xf>
    <xf borderId="0" fillId="4" fontId="2" numFmtId="0" xfId="0" applyAlignment="1" applyFont="1">
      <alignment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1"/>
    </xf>
    <xf borderId="0" fillId="5" fontId="13" numFmtId="0" xfId="0" applyAlignment="1" applyFont="1">
      <alignment readingOrder="0" shrinkToFit="0" wrapText="0"/>
    </xf>
    <xf borderId="0" fillId="4" fontId="2" numFmtId="0" xfId="0" applyAlignment="1" applyFont="1">
      <alignment horizontal="left" readingOrder="0" shrinkToFit="0" vertical="bottom" wrapText="1"/>
    </xf>
    <xf borderId="0" fillId="0" fontId="12" numFmtId="0" xfId="0" applyAlignment="1" applyFont="1">
      <alignment readingOrder="0" shrinkToFit="0" wrapText="0"/>
    </xf>
    <xf borderId="0" fillId="4" fontId="12" numFmtId="0" xfId="0" applyAlignment="1" applyFont="1">
      <alignment readingOrder="0" shrinkToFit="0" wrapText="0"/>
    </xf>
    <xf borderId="0" fillId="4" fontId="12" numFmtId="0" xfId="0" applyAlignment="1" applyFont="1">
      <alignment shrinkToFit="0" wrapText="1"/>
    </xf>
    <xf borderId="0" fillId="4" fontId="2" numFmtId="0" xfId="0" applyAlignment="1" applyFont="1">
      <alignment readingOrder="0" shrinkToFit="0" vertical="bottom" wrapText="0"/>
    </xf>
    <xf borderId="0" fillId="3" fontId="1" numFmtId="0" xfId="0" applyAlignment="1" applyFont="1">
      <alignment readingOrder="0" shrinkToFit="0" vertical="bottom" wrapText="0"/>
    </xf>
    <xf borderId="0" fillId="0" fontId="13" numFmtId="0" xfId="0" applyAlignment="1" applyFont="1">
      <alignment readingOrder="0" shrinkToFit="0" wrapText="0"/>
    </xf>
    <xf borderId="0" fillId="4" fontId="13" numFmtId="0" xfId="0" applyAlignment="1" applyFont="1">
      <alignment readingOrder="0" shrinkToFit="0" wrapText="0"/>
    </xf>
    <xf borderId="0" fillId="3" fontId="13" numFmtId="0" xfId="0" applyAlignment="1" applyFont="1">
      <alignment readingOrder="0" shrinkToFit="0" wrapText="0"/>
    </xf>
    <xf borderId="0" fillId="0" fontId="16" numFmtId="0" xfId="0" applyAlignment="1" applyFont="1">
      <alignment readingOrder="0" shrinkToFit="0" wrapText="1"/>
    </xf>
    <xf borderId="0" fillId="4" fontId="1" numFmtId="0" xfId="0" applyAlignment="1" applyFont="1">
      <alignment readingOrder="0" shrinkToFit="0" vertical="bottom" wrapText="0"/>
    </xf>
    <xf borderId="0" fillId="2" fontId="1" numFmtId="0" xfId="0" applyAlignment="1" applyFont="1">
      <alignment shrinkToFit="0" vertical="bottom" wrapText="1"/>
    </xf>
    <xf borderId="0" fillId="2" fontId="1" numFmtId="0" xfId="0" applyAlignment="1" applyFont="1">
      <alignment readingOrder="0" shrinkToFit="0" vertical="bottom" wrapText="0"/>
    </xf>
    <xf borderId="0" fillId="3" fontId="16" numFmtId="0" xfId="0" applyAlignment="1" applyFont="1">
      <alignment readingOrder="0" shrinkToFit="0" vertical="bottom" wrapText="1"/>
    </xf>
    <xf borderId="0" fillId="0" fontId="17" numFmtId="0" xfId="0" applyAlignment="1" applyFont="1">
      <alignment readingOrder="0" shrinkToFit="0" wrapText="1"/>
    </xf>
    <xf borderId="1" fillId="0" fontId="18" numFmtId="0" xfId="0" applyAlignment="1" applyBorder="1" applyFont="1">
      <alignment readingOrder="0" shrinkToFit="0" vertical="bottom" wrapText="0"/>
    </xf>
    <xf borderId="1" fillId="0" fontId="19" numFmtId="0" xfId="0" applyAlignment="1" applyBorder="1" applyFont="1">
      <alignment horizontal="right" readingOrder="0" shrinkToFit="0" vertical="bottom" wrapText="0"/>
    </xf>
    <xf borderId="0" fillId="0" fontId="20" numFmtId="0" xfId="0" applyAlignment="1" applyFont="1">
      <alignment shrinkToFit="0" vertical="bottom" wrapText="0"/>
    </xf>
    <xf borderId="0" fillId="0" fontId="18" numFmtId="0" xfId="0" applyAlignment="1" applyFont="1">
      <alignment readingOrder="0" shrinkToFit="0" vertical="bottom" wrapText="0"/>
    </xf>
    <xf borderId="0" fillId="0" fontId="20" numFmtId="0" xfId="0" applyAlignment="1" applyFont="1">
      <alignment horizontal="right" shrinkToFit="0" vertical="bottom" wrapText="0"/>
    </xf>
    <xf borderId="1" fillId="0" fontId="21" numFmtId="0" xfId="0" applyAlignment="1" applyBorder="1" applyFont="1">
      <alignment horizontal="right" readingOrder="0" shrinkToFit="0" vertical="bottom" wrapText="0"/>
    </xf>
    <xf borderId="0" fillId="0" fontId="20" numFmtId="0" xfId="0" applyAlignment="1" applyFont="1">
      <alignment shrinkToFit="0" vertical="bottom" wrapText="0"/>
    </xf>
    <xf borderId="0" fillId="0" fontId="20" numFmtId="0" xfId="0" applyAlignment="1" applyFont="1">
      <alignment horizontal="right" shrinkToFit="0" vertical="bottom" wrapText="0"/>
    </xf>
    <xf borderId="1" fillId="0" fontId="18" numFmtId="0" xfId="0" applyAlignment="1" applyBorder="1" applyFont="1">
      <alignment horizontal="center" readingOrder="0" shrinkToFit="0" wrapText="1"/>
    </xf>
    <xf borderId="0" fillId="0" fontId="18" numFmtId="0" xfId="0" applyAlignment="1" applyFont="1">
      <alignment horizontal="center" readingOrder="0" shrinkToFit="0" wrapText="1"/>
    </xf>
    <xf borderId="1" fillId="0" fontId="20" numFmtId="0" xfId="0" applyAlignment="1" applyBorder="1" applyFont="1">
      <alignment horizontal="right" readingOrder="0" shrinkToFit="0" vertical="bottom" wrapText="0"/>
    </xf>
    <xf borderId="1" fillId="0" fontId="20" numFmtId="0" xfId="0" applyAlignment="1" applyBorder="1" applyFont="1">
      <alignment readingOrder="0" shrinkToFit="0" vertical="bottom" wrapText="0"/>
    </xf>
    <xf borderId="1" fillId="0" fontId="18" numFmtId="0" xfId="0" applyAlignment="1" applyBorder="1" applyFont="1">
      <alignment readingOrder="0" shrinkToFit="0" wrapText="1"/>
    </xf>
    <xf borderId="1" fillId="0" fontId="20" numFmtId="0" xfId="0" applyAlignment="1" applyBorder="1" applyFont="1">
      <alignment readingOrder="0" shrinkToFit="0" wrapText="1"/>
    </xf>
    <xf borderId="1" fillId="0" fontId="21" numFmtId="0" xfId="0" applyAlignment="1" applyBorder="1" applyFont="1">
      <alignment readingOrder="0" shrinkToFit="0" wrapText="1"/>
    </xf>
    <xf borderId="0" fillId="0" fontId="20" numFmtId="0" xfId="0" applyAlignment="1" applyFont="1">
      <alignment readingOrder="0" shrinkToFit="0" wrapText="1"/>
    </xf>
    <xf borderId="1" fillId="0" fontId="19" numFmtId="0" xfId="0" applyAlignment="1" applyBorder="1" applyFont="1">
      <alignment readingOrder="0" shrinkToFit="0" vertical="bottom" wrapText="0"/>
    </xf>
    <xf borderId="1" fillId="0" fontId="21" numFmtId="0" xfId="0" applyAlignment="1" applyBorder="1" applyFont="1">
      <alignment readingOrder="0" shrinkToFit="0" vertical="bottom" wrapText="0"/>
    </xf>
    <xf borderId="1" fillId="0" fontId="13" numFmtId="0" xfId="0" applyAlignment="1" applyBorder="1" applyFont="1">
      <alignment readingOrder="0" shrinkToFit="0" wrapText="1"/>
    </xf>
    <xf borderId="1" fillId="0" fontId="12" numFmtId="0" xfId="0" applyAlignment="1" applyBorder="1" applyFont="1">
      <alignment readingOrder="0" shrinkToFit="0" wrapText="1"/>
    </xf>
    <xf borderId="0" fillId="0" fontId="21" numFmtId="0" xfId="0" applyAlignment="1" applyFont="1">
      <alignment readingOrder="0" shrinkToFit="0" vertical="bottom" wrapText="0"/>
    </xf>
    <xf borderId="2" fillId="0" fontId="20" numFmtId="0" xfId="0" applyAlignment="1" applyBorder="1" applyFont="1">
      <alignment shrinkToFit="0" vertical="bottom" wrapText="0"/>
    </xf>
    <xf borderId="3" fillId="0" fontId="22" numFmtId="0" xfId="0" applyAlignment="1" applyBorder="1" applyFont="1">
      <alignment readingOrder="0" shrinkToFit="0" vertical="bottom" wrapText="0"/>
    </xf>
    <xf borderId="4" fillId="0" fontId="20" numFmtId="0" xfId="0" applyAlignment="1" applyBorder="1" applyFont="1">
      <alignment shrinkToFit="0" vertical="bottom" wrapText="0"/>
    </xf>
    <xf borderId="0" fillId="0" fontId="20" numFmtId="0" xfId="0" applyAlignment="1" applyFont="1">
      <alignment readingOrder="0" shrinkToFit="0" vertical="bottom" wrapText="0"/>
    </xf>
    <xf borderId="5" fillId="0" fontId="18" numFmtId="0" xfId="0" applyAlignment="1" applyBorder="1" applyFont="1">
      <alignment readingOrder="0" shrinkToFit="0" vertical="bottom" wrapText="0"/>
    </xf>
    <xf borderId="6" fillId="0" fontId="20" numFmtId="0" xfId="0" applyAlignment="1" applyBorder="1" applyFont="1">
      <alignment readingOrder="0" shrinkToFit="0" vertical="bottom" wrapText="0"/>
    </xf>
    <xf borderId="7" fillId="0" fontId="20" numFmtId="0" xfId="0" applyAlignment="1" applyBorder="1" applyFont="1">
      <alignment shrinkToFit="0" vertical="bottom" wrapText="0"/>
    </xf>
    <xf borderId="1" fillId="0" fontId="20" numFmtId="0" xfId="0" applyAlignment="1" applyBorder="1" applyFont="1">
      <alignment shrinkToFit="0" vertical="bottom" wrapText="0"/>
    </xf>
    <xf borderId="1" fillId="0" fontId="19" numFmtId="0" xfId="0" applyAlignment="1" applyBorder="1" applyFont="1">
      <alignment readingOrder="0" shrinkToFit="0" wrapText="1"/>
    </xf>
    <xf borderId="1" fillId="0" fontId="23" numFmtId="0" xfId="0" applyAlignment="1" applyBorder="1" applyFont="1">
      <alignment readingOrder="0" shrinkToFit="0" wrapText="1"/>
    </xf>
    <xf borderId="0" fillId="2" fontId="1" numFmtId="0" xfId="0" applyAlignment="1" applyFont="1">
      <alignment shrinkToFit="0" vertical="center" wrapText="1"/>
    </xf>
    <xf borderId="0" fillId="2" fontId="1" numFmtId="0" xfId="0" applyAlignment="1" applyFont="1">
      <alignment horizontal="center" shrinkToFit="0" vertical="center" wrapText="1"/>
    </xf>
    <xf borderId="0" fillId="2" fontId="1" numFmtId="4" xfId="0" applyAlignment="1" applyFont="1" applyNumberFormat="1">
      <alignment shrinkToFit="0" vertical="center" wrapText="1"/>
    </xf>
    <xf borderId="0" fillId="2" fontId="2" numFmtId="4" xfId="0" applyAlignment="1" applyFont="1" applyNumberFormat="1">
      <alignment shrinkToFit="0" vertical="center" wrapText="1"/>
    </xf>
    <xf borderId="0" fillId="2" fontId="2" numFmtId="0" xfId="0" applyAlignment="1" applyFont="1">
      <alignment shrinkToFit="0" vertical="center" wrapText="1"/>
    </xf>
    <xf borderId="0" fillId="2" fontId="13" numFmtId="0" xfId="0" applyAlignment="1" applyFont="1">
      <alignment shrinkToFit="0" vertical="center" wrapText="1"/>
    </xf>
    <xf borderId="0" fillId="3" fontId="1" numFmtId="0" xfId="0" applyAlignment="1" applyFont="1">
      <alignment shrinkToFit="0" vertical="center" wrapText="1"/>
    </xf>
    <xf borderId="0" fillId="5" fontId="2" numFmtId="0" xfId="0" applyAlignment="1" applyFont="1">
      <alignment horizontal="center" readingOrder="0" shrinkToFit="0" vertical="center" wrapText="1"/>
    </xf>
    <xf borderId="0" fillId="3" fontId="2" numFmtId="4" xfId="0" applyAlignment="1" applyFont="1" applyNumberFormat="1">
      <alignment shrinkToFit="0" vertical="center" wrapText="1"/>
    </xf>
    <xf borderId="0" fillId="8" fontId="24" numFmtId="4" xfId="0" applyAlignment="1" applyFont="1" applyNumberFormat="1">
      <alignment horizontal="center" shrinkToFit="0" vertical="center" wrapText="1"/>
    </xf>
    <xf borderId="0" fillId="8" fontId="24" numFmtId="0" xfId="0" applyAlignment="1" applyFont="1">
      <alignment horizontal="center" shrinkToFit="0" vertical="center" wrapText="1"/>
    </xf>
    <xf borderId="0" fillId="3" fontId="12" numFmtId="0" xfId="0" applyAlignment="1" applyFont="1">
      <alignment shrinkToFit="0" vertical="center" wrapText="1"/>
    </xf>
    <xf borderId="0" fillId="4" fontId="1" numFmtId="0" xfId="0" applyAlignment="1" applyFont="1">
      <alignment shrinkToFit="0" vertical="center" wrapText="1"/>
    </xf>
    <xf borderId="0" fillId="4" fontId="2" numFmtId="4" xfId="0" applyAlignment="1" applyFont="1" applyNumberFormat="1">
      <alignment shrinkToFit="0" vertical="center" wrapText="1"/>
    </xf>
    <xf borderId="0" fillId="4" fontId="12" numFmtId="0" xfId="0" applyAlignment="1" applyFont="1">
      <alignment shrinkToFit="0" vertical="center" wrapText="1"/>
    </xf>
    <xf borderId="0" fillId="5" fontId="2" numFmtId="0" xfId="0" applyAlignment="1" applyFont="1">
      <alignment horizontal="center" shrinkToFit="0" vertical="center" wrapText="1"/>
    </xf>
    <xf borderId="0" fillId="4" fontId="2" numFmtId="0" xfId="0" applyAlignment="1" applyFont="1">
      <alignment shrinkToFit="0" vertical="center" wrapText="1"/>
    </xf>
    <xf borderId="0" fillId="3" fontId="2" numFmtId="0" xfId="0" applyAlignment="1" applyFont="1">
      <alignment shrinkToFit="0" vertical="center" wrapText="1"/>
    </xf>
    <xf borderId="0" fillId="7" fontId="2" numFmtId="0" xfId="0" applyAlignment="1" applyFont="1">
      <alignment horizontal="center" shrinkToFit="0" vertical="center" wrapText="1"/>
    </xf>
    <xf borderId="0" fillId="7" fontId="2" numFmtId="0" xfId="0" applyAlignment="1" applyFont="1">
      <alignment readingOrder="0" shrinkToFit="0" vertical="center" wrapText="1"/>
    </xf>
    <xf borderId="0" fillId="3" fontId="13" numFmtId="0" xfId="0" applyAlignment="1" applyFont="1">
      <alignment shrinkToFit="0" wrapText="0"/>
    </xf>
    <xf borderId="0" fillId="3" fontId="13" numFmtId="0" xfId="0" applyAlignment="1" applyFont="1">
      <alignment shrinkToFit="0" wrapText="0"/>
    </xf>
    <xf borderId="0" fillId="4" fontId="12" numFmtId="0" xfId="0" applyAlignment="1" applyFont="1">
      <alignment shrinkToFit="0" wrapText="0"/>
    </xf>
    <xf borderId="0" fillId="3" fontId="12" numFmtId="0" xfId="0" applyAlignment="1" applyFont="1">
      <alignment shrinkToFit="0" wrapText="0"/>
    </xf>
    <xf borderId="0" fillId="3" fontId="12" numFmtId="0" xfId="0" applyAlignment="1" applyFont="1">
      <alignment shrinkToFit="0" wrapText="0"/>
    </xf>
    <xf borderId="0" fillId="4" fontId="1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3">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Team 3 Velocity Chart</a:t>
            </a:r>
          </a:p>
        </c:rich>
      </c:tx>
      <c:overlay val="0"/>
    </c:title>
    <c:plotArea>
      <c:layout/>
      <c:barChart>
        <c:barDir val="col"/>
        <c:ser>
          <c:idx val="0"/>
          <c:order val="0"/>
          <c:tx>
            <c:v>story points</c:v>
          </c:tx>
          <c:spPr>
            <a:solidFill>
              <a:srgbClr val="4285F4"/>
            </a:solidFill>
            <a:ln cmpd="sng">
              <a:solidFill>
                <a:srgbClr val="000000"/>
              </a:solidFill>
            </a:ln>
          </c:spPr>
          <c:dPt>
            <c:idx val="2"/>
          </c:dPt>
          <c:trendline>
            <c:name>trend sp/sprint</c:name>
            <c:spPr>
              <a:ln w="19050">
                <a:solidFill>
                  <a:srgbClr val="000000"/>
                </a:solidFill>
              </a:ln>
            </c:spPr>
            <c:trendlineType val="linear"/>
            <c:dispRSqr val="0"/>
            <c:dispEq val="0"/>
          </c:trendline>
          <c:cat>
            <c:strRef>
              <c:f>'Velocity Tracking'!$A$2:$A$14</c:f>
            </c:strRef>
          </c:cat>
          <c:val>
            <c:numRef>
              <c:f>'Velocity Tracking'!$B$2:$B$14</c:f>
              <c:numCache/>
            </c:numRef>
          </c:val>
        </c:ser>
        <c:axId val="1728577944"/>
        <c:axId val="1940141125"/>
      </c:barChart>
      <c:catAx>
        <c:axId val="172857794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c:txPr>
          <a:bodyPr rot="0"/>
          <a:lstStyle/>
          <a:p>
            <a:pPr lvl="0">
              <a:defRPr b="0">
                <a:solidFill>
                  <a:srgbClr val="000000"/>
                </a:solidFill>
                <a:latin typeface="Roboto"/>
              </a:defRPr>
            </a:pPr>
          </a:p>
        </c:txPr>
        <c:crossAx val="1940141125"/>
      </c:catAx>
      <c:valAx>
        <c:axId val="19401411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728577944"/>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'Mid-Project Release plan'!$A$9:$A$17</c:f>
            </c:strRef>
          </c:cat>
          <c:val>
            <c:numRef>
              <c:f>'Mid-Project Release plan'!$E$9:$E$15</c:f>
              <c:numCache/>
            </c:numRef>
          </c:val>
        </c:ser>
        <c:ser>
          <c:idx val="1"/>
          <c:order val="1"/>
          <c:tx>
            <c:v>Real remaining</c:v>
          </c:tx>
          <c:spPr>
            <a:solidFill>
              <a:srgbClr val="DB4437"/>
            </a:solidFill>
            <a:ln cmpd="sng">
              <a:solidFill>
                <a:srgbClr val="000000"/>
              </a:solidFill>
            </a:ln>
          </c:spPr>
          <c:cat>
            <c:strRef>
              <c:f>'Mid-Project Release plan'!$A$9:$A$17</c:f>
            </c:strRef>
          </c:cat>
          <c:val>
            <c:numRef>
              <c:f>'Mid-Project Release plan'!$G$9:$G$15</c:f>
              <c:numCache/>
            </c:numRef>
          </c:val>
        </c:ser>
        <c:axId val="982535215"/>
        <c:axId val="1569296187"/>
      </c:barChart>
      <c:catAx>
        <c:axId val="98253521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569296187"/>
      </c:catAx>
      <c:valAx>
        <c:axId val="15692961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982535215"/>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'Final Project Release plan'!$A$9:$A$17</c:f>
            </c:strRef>
          </c:cat>
          <c:val>
            <c:numRef>
              <c:f>'Final Project Release plan'!$E$9:$E$16</c:f>
              <c:numCache/>
            </c:numRef>
          </c:val>
        </c:ser>
        <c:ser>
          <c:idx val="1"/>
          <c:order val="1"/>
          <c:tx>
            <c:v>Real remaining</c:v>
          </c:tx>
          <c:spPr>
            <a:solidFill>
              <a:srgbClr val="DB4437"/>
            </a:solidFill>
            <a:ln cmpd="sng">
              <a:solidFill>
                <a:srgbClr val="000000"/>
              </a:solidFill>
            </a:ln>
          </c:spPr>
          <c:cat>
            <c:strRef>
              <c:f>'Final Project Release plan'!$A$9:$A$17</c:f>
            </c:strRef>
          </c:cat>
          <c:val>
            <c:numRef>
              <c:f>'Final Project Release plan'!$G$9:$G$16</c:f>
              <c:numCache/>
            </c:numRef>
          </c:val>
        </c:ser>
        <c:axId val="2052883717"/>
        <c:axId val="40645544"/>
      </c:barChart>
      <c:catAx>
        <c:axId val="205288371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40645544"/>
      </c:catAx>
      <c:valAx>
        <c:axId val="406455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52883717"/>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0</xdr:row>
      <xdr:rowOff>0</xdr:rowOff>
    </xdr:from>
    <xdr:ext cx="5715000" cy="35337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RTDIP Timeseries Forecasting"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headerRowCount="0" ref="A1:B20" displayName="Table_8" name="Table_8" id="8">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G132"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0.xml><?xml version="1.0" encoding="utf-8"?>
<table xmlns="http://schemas.openxmlformats.org/spreadsheetml/2006/main" ref="A1:G134"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ref="A1:D22" displayName="Table_11" name="Table_11" id="11">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2.xml><?xml version="1.0" encoding="utf-8"?>
<table xmlns="http://schemas.openxmlformats.org/spreadsheetml/2006/main" ref="A1:B20" displayName="Table_12" name="Table_12" id="12">
  <tableColumns count="2">
    <tableColumn name="Type" id="1"/>
    <tableColumn name="Link / reference" id="2"/>
  </tableColumns>
  <tableStyleInfo name="Documentation-style" showColumnStripes="0" showFirstColumn="1" showLastColumn="1" showRowStripes="1"/>
</table>
</file>

<file path=xl/tables/table13.xml><?xml version="1.0" encoding="utf-8"?>
<table xmlns="http://schemas.openxmlformats.org/spreadsheetml/2006/main" headerRowCount="0" ref="A1:U26" displayName="Table_13" name="Table_13" id="13">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Bill of Materials-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502405196?pwd=8H73lyixQfqKrnO8Eb47kawnuKCnGp.1" TargetMode="External"/><Relationship Id="rId2" Type="http://schemas.openxmlformats.org/officeDocument/2006/relationships/hyperlink" Target="https://github.com/amosproj/amos2025ws03-rtdip-timeseries-forecasting" TargetMode="External"/><Relationship Id="rId3" Type="http://schemas.openxmlformats.org/officeDocument/2006/relationships/hyperlink" Target="https://github.com/orgs/amosproj/projects/91/views/1" TargetMode="External"/><Relationship Id="rId4" Type="http://schemas.openxmlformats.org/officeDocument/2006/relationships/hyperlink" Target="https://github.com/orgs/amosproj/projects/96"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DMhnF5cOAk9ffF5jsRf2/" TargetMode="External"/><Relationship Id="rId5" Type="http://schemas.openxmlformats.org/officeDocument/2006/relationships/hyperlink" Target="https://www.shirtinator.de/s/QWcDXTKGS72ISnrRNZq1hg" TargetMode="External"/><Relationship Id="rId6" Type="http://schemas.openxmlformats.org/officeDocument/2006/relationships/hyperlink" Target="https://www.shirtinator.de/s/0yx3duRjSzW-5hP32KmZ1w" TargetMode="External"/><Relationship Id="rId7" Type="http://schemas.openxmlformats.org/officeDocument/2006/relationships/hyperlink" Target="https://discord.gg/KJXGmjcs" TargetMode="External"/><Relationship Id="rId8" Type="http://schemas.openxmlformats.org/officeDocument/2006/relationships/hyperlink" Target="https://happy-amos.appspot.com/Cours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amosproj/amos2025ws03-rtdip-timeseries-forecasting/wiki/Documentation" TargetMode="External"/><Relationship Id="rId2" Type="http://schemas.openxmlformats.org/officeDocument/2006/relationships/hyperlink" Target="https://github.com/amosproj/amos2025ws03-rtdip-timeseries-forecasting/wiki/Documentation" TargetMode="External"/><Relationship Id="rId3" Type="http://schemas.openxmlformats.org/officeDocument/2006/relationships/hyperlink" Target="https://github.com/amosproj/amos2025ws03-rtdip-timeseries-forecasting/wiki/Documentation" TargetMode="External"/><Relationship Id="rId4" Type="http://schemas.openxmlformats.org/officeDocument/2006/relationships/drawing" Target="../drawings/drawing15.xml"/><Relationship Id="rId6"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3"/>
      <c r="B2" s="3"/>
    </row>
    <row r="3">
      <c r="A3" s="4" t="s">
        <v>2</v>
      </c>
      <c r="B3" s="5" t="s">
        <v>3</v>
      </c>
    </row>
    <row r="4">
      <c r="A4" s="3"/>
      <c r="B4" s="3"/>
    </row>
    <row r="5">
      <c r="A5" s="4" t="s">
        <v>4</v>
      </c>
      <c r="B5" s="6"/>
    </row>
    <row r="6">
      <c r="A6" s="7" t="s">
        <v>5</v>
      </c>
      <c r="B6" s="8"/>
    </row>
    <row r="7">
      <c r="A7" s="9"/>
      <c r="B7" s="9"/>
    </row>
    <row r="8">
      <c r="A8" s="7" t="s">
        <v>6</v>
      </c>
      <c r="B8" s="10" t="s">
        <v>7</v>
      </c>
    </row>
    <row r="9">
      <c r="A9" s="4" t="s">
        <v>8</v>
      </c>
      <c r="B9" s="11" t="s">
        <v>9</v>
      </c>
    </row>
    <row r="10">
      <c r="A10" s="7" t="s">
        <v>10</v>
      </c>
      <c r="B10" s="12" t="s">
        <v>11</v>
      </c>
    </row>
    <row r="11">
      <c r="A11" s="9"/>
      <c r="B11" s="9"/>
    </row>
    <row r="12">
      <c r="A12" s="7" t="s">
        <v>12</v>
      </c>
      <c r="B12" s="13" t="s">
        <v>13</v>
      </c>
    </row>
    <row r="13">
      <c r="A13" s="4" t="s">
        <v>14</v>
      </c>
      <c r="B13" s="14" t="s">
        <v>15</v>
      </c>
    </row>
    <row r="14">
      <c r="A14" s="3"/>
      <c r="B14" s="3"/>
    </row>
    <row r="15">
      <c r="A15" s="15" t="s">
        <v>16</v>
      </c>
      <c r="B15" s="16" t="s">
        <v>17</v>
      </c>
    </row>
    <row r="16">
      <c r="A16" s="3"/>
      <c r="B16" s="3"/>
    </row>
    <row r="17">
      <c r="A17" s="4" t="s">
        <v>18</v>
      </c>
      <c r="B17" s="6" t="s">
        <v>19</v>
      </c>
    </row>
    <row r="18">
      <c r="A18" s="3"/>
      <c r="B18" s="3"/>
    </row>
    <row r="19">
      <c r="A19" s="17" t="s">
        <v>20</v>
      </c>
      <c r="B19" s="16" t="s">
        <v>21</v>
      </c>
    </row>
    <row r="20">
      <c r="A20" s="18" t="s">
        <v>22</v>
      </c>
      <c r="B20" s="19" t="s">
        <v>23</v>
      </c>
    </row>
  </sheetData>
  <hyperlinks>
    <hyperlink r:id="rId1" ref="B3"/>
    <hyperlink r:id="rId2" ref="B8"/>
    <hyperlink r:id="rId3" ref="B9"/>
    <hyperlink r:id="rId4" ref="B10"/>
    <hyperlink r:id="rId5" ref="B12"/>
    <hyperlink r:id="rId6" ref="B13"/>
    <hyperlink r:id="rId7" ref="B15"/>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20" t="s">
        <v>24</v>
      </c>
      <c r="B1" s="20" t="s">
        <v>25</v>
      </c>
      <c r="C1" s="20" t="s">
        <v>26</v>
      </c>
      <c r="D1" s="20" t="s">
        <v>27</v>
      </c>
    </row>
    <row r="2">
      <c r="A2" s="21" t="s">
        <v>28</v>
      </c>
      <c r="B2" s="21" t="s">
        <v>29</v>
      </c>
      <c r="C2" s="21" t="s">
        <v>30</v>
      </c>
      <c r="D2" s="21" t="s">
        <v>31</v>
      </c>
    </row>
    <row r="3">
      <c r="A3" s="22" t="s">
        <v>32</v>
      </c>
      <c r="B3" s="22" t="s">
        <v>33</v>
      </c>
      <c r="C3" s="22" t="s">
        <v>34</v>
      </c>
      <c r="D3" s="22" t="s">
        <v>35</v>
      </c>
    </row>
    <row r="4">
      <c r="A4" s="23" t="s">
        <v>36</v>
      </c>
      <c r="B4" s="23" t="s">
        <v>37</v>
      </c>
      <c r="C4" s="23" t="s">
        <v>38</v>
      </c>
      <c r="D4" s="23" t="s">
        <v>39</v>
      </c>
    </row>
    <row r="5">
      <c r="A5" s="24" t="s">
        <v>40</v>
      </c>
      <c r="B5" s="24" t="s">
        <v>41</v>
      </c>
      <c r="C5" s="24" t="s">
        <v>42</v>
      </c>
      <c r="D5" s="24" t="s">
        <v>43</v>
      </c>
    </row>
    <row r="6">
      <c r="A6" s="23" t="s">
        <v>44</v>
      </c>
      <c r="B6" s="21" t="s">
        <v>45</v>
      </c>
      <c r="C6" s="23" t="s">
        <v>46</v>
      </c>
      <c r="D6" s="23" t="s">
        <v>47</v>
      </c>
    </row>
    <row r="7">
      <c r="A7" s="24" t="s">
        <v>48</v>
      </c>
      <c r="B7" s="22" t="s">
        <v>49</v>
      </c>
      <c r="C7" s="24" t="s">
        <v>50</v>
      </c>
      <c r="D7" s="24" t="s">
        <v>51</v>
      </c>
    </row>
    <row r="8">
      <c r="A8" s="23" t="s">
        <v>52</v>
      </c>
      <c r="B8" s="21" t="s">
        <v>53</v>
      </c>
      <c r="C8" s="23" t="s">
        <v>54</v>
      </c>
      <c r="D8" s="23" t="s">
        <v>55</v>
      </c>
    </row>
    <row r="9">
      <c r="A9" s="24" t="s">
        <v>56</v>
      </c>
      <c r="B9" s="22" t="s">
        <v>57</v>
      </c>
      <c r="C9" s="24" t="s">
        <v>58</v>
      </c>
      <c r="D9" s="24" t="s">
        <v>59</v>
      </c>
    </row>
    <row r="10">
      <c r="A10" s="23" t="s">
        <v>60</v>
      </c>
      <c r="B10" s="21" t="s">
        <v>61</v>
      </c>
      <c r="C10" s="23" t="s">
        <v>62</v>
      </c>
      <c r="D10" s="23" t="s">
        <v>63</v>
      </c>
    </row>
    <row r="11">
      <c r="A11" s="25"/>
      <c r="B11" s="26"/>
      <c r="C11" s="25"/>
      <c r="D11" s="25"/>
    </row>
    <row r="12">
      <c r="A12" s="25"/>
      <c r="B12" s="25"/>
      <c r="C12" s="25"/>
      <c r="D12" s="25"/>
    </row>
    <row r="13">
      <c r="A13" s="27"/>
      <c r="B13" s="28"/>
      <c r="C13" s="28"/>
      <c r="D13" s="28"/>
    </row>
    <row r="14">
      <c r="A14" s="25"/>
      <c r="B14" s="26"/>
      <c r="C14" s="25"/>
      <c r="D14" s="25"/>
    </row>
    <row r="15">
      <c r="A15" s="25"/>
      <c r="B15" s="26"/>
      <c r="C15" s="25"/>
      <c r="D15" s="25"/>
    </row>
    <row r="16">
      <c r="A16" s="25"/>
      <c r="B16" s="25"/>
      <c r="C16" s="25"/>
      <c r="D16" s="25"/>
    </row>
    <row r="17">
      <c r="A17" s="25"/>
      <c r="B17" s="25"/>
      <c r="C17" s="25"/>
      <c r="D17" s="25"/>
    </row>
    <row r="18">
      <c r="A18" s="25"/>
      <c r="B18" s="25"/>
      <c r="C18" s="25"/>
      <c r="D18" s="25"/>
    </row>
    <row r="19">
      <c r="A19" s="25"/>
      <c r="B19" s="25"/>
      <c r="C19" s="25"/>
      <c r="D19" s="25"/>
    </row>
    <row r="20">
      <c r="A20" s="25"/>
      <c r="B20" s="25"/>
      <c r="C20" s="25"/>
      <c r="D20" s="2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29"/>
      <c r="B1" s="29"/>
      <c r="C1" s="30" t="s">
        <v>64</v>
      </c>
      <c r="E1" s="29"/>
      <c r="F1" s="31"/>
      <c r="G1" s="31"/>
      <c r="H1" s="29"/>
    </row>
    <row r="2">
      <c r="A2" s="32" t="s">
        <v>65</v>
      </c>
      <c r="B2" s="32" t="s">
        <v>66</v>
      </c>
      <c r="C2" s="32" t="s">
        <v>67</v>
      </c>
      <c r="D2" s="32" t="s">
        <v>68</v>
      </c>
      <c r="E2" s="32" t="s">
        <v>69</v>
      </c>
      <c r="F2" s="33" t="s">
        <v>70</v>
      </c>
      <c r="G2" s="33" t="s">
        <v>71</v>
      </c>
      <c r="H2" s="32" t="s">
        <v>72</v>
      </c>
    </row>
    <row r="3">
      <c r="A3" s="34">
        <v>1.0</v>
      </c>
      <c r="B3" s="35">
        <v>45945.0</v>
      </c>
      <c r="C3" s="21" t="s">
        <v>73</v>
      </c>
      <c r="D3" s="21" t="s">
        <v>74</v>
      </c>
      <c r="E3" s="21" t="s">
        <v>75</v>
      </c>
      <c r="F3" s="21" t="s">
        <v>76</v>
      </c>
      <c r="G3" s="21" t="s">
        <v>29</v>
      </c>
      <c r="H3" s="36"/>
    </row>
    <row r="4">
      <c r="A4" s="37">
        <v>2.0</v>
      </c>
      <c r="B4" s="38">
        <f t="shared" ref="B4:B11" si="1">B3+7</f>
        <v>45952</v>
      </c>
      <c r="C4" s="22" t="s">
        <v>74</v>
      </c>
      <c r="D4" s="22" t="s">
        <v>73</v>
      </c>
      <c r="E4" s="22" t="s">
        <v>75</v>
      </c>
      <c r="F4" s="22" t="s">
        <v>41</v>
      </c>
      <c r="G4" s="22" t="s">
        <v>29</v>
      </c>
      <c r="H4" s="39"/>
    </row>
    <row r="5">
      <c r="A5" s="34">
        <v>3.0</v>
      </c>
      <c r="B5" s="35">
        <f t="shared" si="1"/>
        <v>45959</v>
      </c>
      <c r="C5" s="21" t="s">
        <v>73</v>
      </c>
      <c r="D5" s="21" t="s">
        <v>74</v>
      </c>
      <c r="E5" s="21" t="s">
        <v>75</v>
      </c>
      <c r="F5" s="21" t="s">
        <v>77</v>
      </c>
      <c r="G5" s="21" t="s">
        <v>29</v>
      </c>
      <c r="H5" s="36"/>
    </row>
    <row r="6">
      <c r="A6" s="37">
        <v>4.0</v>
      </c>
      <c r="B6" s="38">
        <f t="shared" si="1"/>
        <v>45966</v>
      </c>
      <c r="C6" s="22" t="s">
        <v>74</v>
      </c>
      <c r="D6" s="22" t="s">
        <v>73</v>
      </c>
      <c r="E6" s="22" t="s">
        <v>75</v>
      </c>
      <c r="F6" s="22" t="s">
        <v>78</v>
      </c>
      <c r="G6" s="22" t="s">
        <v>29</v>
      </c>
      <c r="H6" s="39"/>
    </row>
    <row r="7">
      <c r="A7" s="34">
        <v>5.0</v>
      </c>
      <c r="B7" s="35">
        <f t="shared" si="1"/>
        <v>45973</v>
      </c>
      <c r="C7" s="21" t="s">
        <v>73</v>
      </c>
      <c r="D7" s="21" t="s">
        <v>74</v>
      </c>
      <c r="E7" s="21" t="s">
        <v>75</v>
      </c>
      <c r="F7" s="21" t="s">
        <v>79</v>
      </c>
      <c r="G7" s="21" t="s">
        <v>29</v>
      </c>
      <c r="H7" s="36"/>
    </row>
    <row r="8">
      <c r="A8" s="37">
        <v>6.0</v>
      </c>
      <c r="B8" s="38">
        <f t="shared" si="1"/>
        <v>45980</v>
      </c>
      <c r="C8" s="22" t="s">
        <v>74</v>
      </c>
      <c r="D8" s="22" t="s">
        <v>73</v>
      </c>
      <c r="E8" s="22" t="s">
        <v>75</v>
      </c>
      <c r="F8" s="6" t="s">
        <v>80</v>
      </c>
      <c r="G8" s="22" t="s">
        <v>29</v>
      </c>
      <c r="H8" s="39"/>
    </row>
    <row r="9">
      <c r="A9" s="34">
        <v>7.0</v>
      </c>
      <c r="B9" s="35">
        <f t="shared" si="1"/>
        <v>45987</v>
      </c>
      <c r="C9" s="23" t="s">
        <v>73</v>
      </c>
      <c r="D9" s="23" t="s">
        <v>74</v>
      </c>
      <c r="E9" s="23" t="s">
        <v>75</v>
      </c>
      <c r="F9" s="23" t="s">
        <v>81</v>
      </c>
      <c r="G9" s="21" t="s">
        <v>29</v>
      </c>
      <c r="H9" s="21" t="s">
        <v>82</v>
      </c>
    </row>
    <row r="10">
      <c r="A10" s="37">
        <v>8.0</v>
      </c>
      <c r="B10" s="38">
        <f t="shared" si="1"/>
        <v>45994</v>
      </c>
      <c r="C10" s="24" t="s">
        <v>74</v>
      </c>
      <c r="D10" s="24" t="s">
        <v>73</v>
      </c>
      <c r="E10" s="24" t="s">
        <v>75</v>
      </c>
      <c r="F10" s="24" t="s">
        <v>78</v>
      </c>
      <c r="G10" s="22" t="s">
        <v>29</v>
      </c>
      <c r="H10" s="39"/>
    </row>
    <row r="11">
      <c r="A11" s="34">
        <v>9.0</v>
      </c>
      <c r="B11" s="35">
        <f t="shared" si="1"/>
        <v>46001</v>
      </c>
      <c r="C11" s="23" t="s">
        <v>73</v>
      </c>
      <c r="D11" s="23" t="s">
        <v>74</v>
      </c>
      <c r="E11" s="23" t="s">
        <v>75</v>
      </c>
      <c r="F11" s="21" t="s">
        <v>77</v>
      </c>
      <c r="G11" s="21" t="s">
        <v>29</v>
      </c>
      <c r="H11" s="36"/>
    </row>
    <row r="12">
      <c r="A12" s="37">
        <v>10.0</v>
      </c>
      <c r="B12" s="40">
        <v>46008.0</v>
      </c>
      <c r="C12" s="24" t="s">
        <v>74</v>
      </c>
      <c r="D12" s="23" t="s">
        <v>73</v>
      </c>
      <c r="E12" s="24" t="s">
        <v>75</v>
      </c>
      <c r="F12" s="41" t="s">
        <v>83</v>
      </c>
      <c r="G12" s="21" t="s">
        <v>29</v>
      </c>
    </row>
    <row r="13">
      <c r="A13" s="34">
        <v>11.0</v>
      </c>
      <c r="B13" s="42">
        <v>46029.0</v>
      </c>
      <c r="C13" s="23" t="s">
        <v>73</v>
      </c>
      <c r="D13" s="23" t="s">
        <v>74</v>
      </c>
      <c r="E13" s="24" t="s">
        <v>75</v>
      </c>
      <c r="F13" s="3" t="s">
        <v>80</v>
      </c>
      <c r="G13" s="22" t="s">
        <v>29</v>
      </c>
      <c r="H13" s="39"/>
    </row>
    <row r="14">
      <c r="A14" s="37">
        <v>12.0</v>
      </c>
      <c r="B14" s="43">
        <v>46036.0</v>
      </c>
      <c r="C14" s="24" t="s">
        <v>74</v>
      </c>
      <c r="D14" s="24" t="s">
        <v>73</v>
      </c>
      <c r="E14" s="23" t="s">
        <v>75</v>
      </c>
      <c r="F14" s="24" t="s">
        <v>81</v>
      </c>
      <c r="G14" s="21" t="s">
        <v>29</v>
      </c>
      <c r="H14" s="36"/>
    </row>
    <row r="15">
      <c r="A15" s="34">
        <v>13.0</v>
      </c>
      <c r="B15" s="35">
        <f t="shared" ref="B15:B18" si="2">B14+7</f>
        <v>46043</v>
      </c>
      <c r="C15" s="23" t="s">
        <v>73</v>
      </c>
      <c r="D15" s="23" t="s">
        <v>74</v>
      </c>
      <c r="E15" s="24" t="s">
        <v>75</v>
      </c>
      <c r="F15" s="23" t="s">
        <v>77</v>
      </c>
      <c r="G15" s="22" t="s">
        <v>29</v>
      </c>
      <c r="H15" s="39"/>
    </row>
    <row r="16">
      <c r="A16" s="37">
        <v>14.0</v>
      </c>
      <c r="B16" s="38">
        <f t="shared" si="2"/>
        <v>46050</v>
      </c>
      <c r="C16" s="24" t="s">
        <v>74</v>
      </c>
      <c r="D16" s="24" t="s">
        <v>73</v>
      </c>
      <c r="E16" s="23" t="s">
        <v>75</v>
      </c>
      <c r="F16" s="3" t="s">
        <v>80</v>
      </c>
      <c r="G16" s="21" t="s">
        <v>29</v>
      </c>
      <c r="H16" s="36"/>
    </row>
    <row r="17">
      <c r="A17" s="34">
        <v>15.0</v>
      </c>
      <c r="B17" s="35">
        <f t="shared" si="2"/>
        <v>46057</v>
      </c>
      <c r="C17" s="23" t="s">
        <v>73</v>
      </c>
      <c r="D17" s="23" t="s">
        <v>74</v>
      </c>
      <c r="E17" s="24" t="s">
        <v>75</v>
      </c>
      <c r="F17" s="44" t="s">
        <v>83</v>
      </c>
      <c r="G17" s="22" t="s">
        <v>29</v>
      </c>
      <c r="H17" s="22" t="s">
        <v>84</v>
      </c>
    </row>
    <row r="18">
      <c r="A18" s="45">
        <v>16.0</v>
      </c>
      <c r="B18" s="38">
        <f t="shared" si="2"/>
        <v>46064</v>
      </c>
      <c r="C18" s="24"/>
      <c r="D18" s="24"/>
      <c r="E18" s="23"/>
      <c r="G18" s="21"/>
      <c r="H18" s="21" t="s">
        <v>85</v>
      </c>
    </row>
    <row r="19">
      <c r="A19" s="21" t="s">
        <v>86</v>
      </c>
      <c r="B19" s="36"/>
      <c r="C19" s="3"/>
      <c r="D19" s="3"/>
      <c r="E19" s="3"/>
      <c r="F19" s="3"/>
      <c r="G19" s="3"/>
      <c r="H19" s="36"/>
    </row>
    <row r="20">
      <c r="A20" s="9"/>
      <c r="B20" s="39"/>
      <c r="C20" s="9"/>
      <c r="D20" s="9"/>
      <c r="E20" s="9"/>
      <c r="F20" s="9"/>
      <c r="G20" s="9"/>
      <c r="H20" s="39"/>
    </row>
    <row r="21">
      <c r="A21" s="3"/>
      <c r="B21" s="36"/>
      <c r="C21" s="3"/>
      <c r="D21" s="3"/>
      <c r="E21" s="3"/>
      <c r="F21" s="3"/>
      <c r="G21" s="3"/>
      <c r="H21" s="3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46" t="s">
        <v>87</v>
      </c>
      <c r="B1" s="47" t="s">
        <v>88</v>
      </c>
    </row>
    <row r="2">
      <c r="A2" s="6"/>
      <c r="B2" s="48" t="s">
        <v>89</v>
      </c>
    </row>
    <row r="3">
      <c r="A3" s="46" t="s">
        <v>90</v>
      </c>
      <c r="B3" s="49" t="s">
        <v>91</v>
      </c>
    </row>
    <row r="4">
      <c r="A4" s="6"/>
      <c r="B4" s="48" t="s">
        <v>92</v>
      </c>
    </row>
    <row r="5">
      <c r="A5" s="46" t="s">
        <v>93</v>
      </c>
      <c r="B5" s="49" t="s">
        <v>94</v>
      </c>
    </row>
    <row r="6">
      <c r="A6" s="6"/>
      <c r="B6" s="48" t="s">
        <v>95</v>
      </c>
    </row>
    <row r="7">
      <c r="A7" s="46" t="s">
        <v>96</v>
      </c>
      <c r="B7" s="50" t="s">
        <v>97</v>
      </c>
    </row>
    <row r="8">
      <c r="A8" s="6"/>
      <c r="B8" s="48" t="s">
        <v>98</v>
      </c>
    </row>
    <row r="9">
      <c r="A9" s="46" t="s">
        <v>99</v>
      </c>
      <c r="B9" s="49" t="s">
        <v>100</v>
      </c>
    </row>
    <row r="10">
      <c r="A10" s="6"/>
      <c r="B10" s="48" t="s">
        <v>101</v>
      </c>
    </row>
    <row r="11">
      <c r="A11" s="46" t="s">
        <v>102</v>
      </c>
      <c r="B11" s="49" t="s">
        <v>103</v>
      </c>
    </row>
    <row r="12">
      <c r="A12" s="9"/>
      <c r="B12" s="48" t="s">
        <v>104</v>
      </c>
    </row>
    <row r="13">
      <c r="A13" s="46" t="s">
        <v>105</v>
      </c>
      <c r="B13" s="49" t="s">
        <v>106</v>
      </c>
    </row>
    <row r="14">
      <c r="A14" s="9"/>
      <c r="B14" s="48" t="s">
        <v>107</v>
      </c>
    </row>
    <row r="15">
      <c r="A15" s="51" t="s">
        <v>108</v>
      </c>
      <c r="B15" s="49" t="s">
        <v>109</v>
      </c>
    </row>
    <row r="16">
      <c r="A16" s="9"/>
      <c r="B16" s="9"/>
    </row>
    <row r="17">
      <c r="A17" s="51" t="s">
        <v>110</v>
      </c>
      <c r="B17" s="49" t="s">
        <v>111</v>
      </c>
    </row>
    <row r="18">
      <c r="A18" s="9"/>
      <c r="B18" s="9"/>
    </row>
    <row r="19">
      <c r="A19" s="46" t="s">
        <v>112</v>
      </c>
      <c r="B19" s="3"/>
    </row>
    <row r="20">
      <c r="A20" s="3"/>
      <c r="B20" s="3"/>
    </row>
    <row r="21">
      <c r="A21" s="6" t="s">
        <v>71</v>
      </c>
      <c r="B21" s="9" t="s">
        <v>113</v>
      </c>
    </row>
    <row r="22">
      <c r="A22" s="8" t="s">
        <v>114</v>
      </c>
      <c r="B22" s="3" t="s">
        <v>73</v>
      </c>
    </row>
    <row r="23">
      <c r="A23" s="6" t="s">
        <v>114</v>
      </c>
      <c r="B23" s="9" t="s">
        <v>74</v>
      </c>
    </row>
    <row r="24">
      <c r="A24" s="8" t="s">
        <v>115</v>
      </c>
      <c r="B24" s="3" t="s">
        <v>79</v>
      </c>
    </row>
    <row r="25">
      <c r="A25" s="6" t="s">
        <v>115</v>
      </c>
      <c r="B25" s="9" t="s">
        <v>78</v>
      </c>
    </row>
    <row r="26">
      <c r="A26" s="8" t="s">
        <v>115</v>
      </c>
      <c r="B26" s="3" t="s">
        <v>81</v>
      </c>
    </row>
    <row r="27">
      <c r="A27" s="6" t="s">
        <v>115</v>
      </c>
      <c r="B27" s="9" t="s">
        <v>80</v>
      </c>
    </row>
    <row r="28">
      <c r="A28" s="8" t="s">
        <v>115</v>
      </c>
      <c r="B28" s="3" t="s">
        <v>83</v>
      </c>
    </row>
    <row r="29">
      <c r="A29" s="6" t="s">
        <v>115</v>
      </c>
      <c r="B29" s="52" t="s">
        <v>77</v>
      </c>
    </row>
    <row r="30">
      <c r="A30" s="3"/>
      <c r="B30" s="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53" t="s">
        <v>116</v>
      </c>
      <c r="B1" s="53" t="s">
        <v>117</v>
      </c>
    </row>
    <row r="2">
      <c r="A2" s="54"/>
      <c r="B2" s="55"/>
    </row>
    <row r="3">
      <c r="A3" s="56" t="s">
        <v>118</v>
      </c>
      <c r="B3" s="57" t="s">
        <v>119</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58" t="s">
        <v>120</v>
      </c>
      <c r="B1" s="59" t="s">
        <v>121</v>
      </c>
    </row>
    <row r="2">
      <c r="A2" s="60" t="s">
        <v>122</v>
      </c>
      <c r="B2" s="44" t="s">
        <v>123</v>
      </c>
    </row>
    <row r="3">
      <c r="A3" s="60" t="s">
        <v>124</v>
      </c>
      <c r="B3" s="44" t="s">
        <v>125</v>
      </c>
    </row>
    <row r="4">
      <c r="A4" s="60" t="s">
        <v>126</v>
      </c>
      <c r="B4" s="44" t="s">
        <v>127</v>
      </c>
    </row>
    <row r="5">
      <c r="A5" s="60" t="s">
        <v>128</v>
      </c>
      <c r="B5" s="44" t="s">
        <v>129</v>
      </c>
    </row>
    <row r="6">
      <c r="A6" s="60" t="s">
        <v>130</v>
      </c>
      <c r="B6" s="44" t="s">
        <v>131</v>
      </c>
    </row>
    <row r="7">
      <c r="A7" s="60" t="s">
        <v>132</v>
      </c>
      <c r="B7" s="44" t="s">
        <v>133</v>
      </c>
    </row>
    <row r="8">
      <c r="A8" s="60" t="s">
        <v>134</v>
      </c>
      <c r="B8" s="44" t="s">
        <v>135</v>
      </c>
    </row>
    <row r="9">
      <c r="A9" s="60" t="s">
        <v>136</v>
      </c>
      <c r="B9" s="44" t="s">
        <v>137</v>
      </c>
    </row>
    <row r="10">
      <c r="A10" s="60" t="s">
        <v>138</v>
      </c>
      <c r="B10" s="44" t="s">
        <v>139</v>
      </c>
    </row>
    <row r="11">
      <c r="A11" s="60" t="s">
        <v>140</v>
      </c>
      <c r="B11" s="44" t="s">
        <v>141</v>
      </c>
    </row>
    <row r="12">
      <c r="A12" s="60" t="s">
        <v>142</v>
      </c>
      <c r="B12" s="44" t="s">
        <v>143</v>
      </c>
    </row>
    <row r="13">
      <c r="A13" s="60" t="s">
        <v>144</v>
      </c>
      <c r="B13" s="44" t="s">
        <v>145</v>
      </c>
    </row>
    <row r="14">
      <c r="A14" s="60" t="s">
        <v>146</v>
      </c>
      <c r="B14" s="44" t="s">
        <v>147</v>
      </c>
    </row>
    <row r="15">
      <c r="A15" s="60" t="s">
        <v>148</v>
      </c>
      <c r="B15" s="44" t="s">
        <v>149</v>
      </c>
    </row>
    <row r="16">
      <c r="A16" s="60" t="s">
        <v>150</v>
      </c>
      <c r="B16" s="44" t="s">
        <v>151</v>
      </c>
    </row>
    <row r="17">
      <c r="A17" s="60" t="s">
        <v>152</v>
      </c>
      <c r="B17" s="44" t="s">
        <v>153</v>
      </c>
    </row>
    <row r="18">
      <c r="A18" s="60" t="s">
        <v>154</v>
      </c>
      <c r="B18" s="44" t="s">
        <v>155</v>
      </c>
    </row>
    <row r="19">
      <c r="A19" s="60" t="s">
        <v>156</v>
      </c>
      <c r="B19" s="44" t="s">
        <v>157</v>
      </c>
    </row>
    <row r="20">
      <c r="A20" s="60" t="s">
        <v>158</v>
      </c>
      <c r="B20" s="44" t="s">
        <v>159</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1" t="s">
        <v>160</v>
      </c>
      <c r="B1" s="62" t="s">
        <v>161</v>
      </c>
    </row>
    <row r="2">
      <c r="A2" s="63">
        <v>1.0</v>
      </c>
      <c r="B2" s="64" t="s">
        <v>162</v>
      </c>
    </row>
    <row r="3">
      <c r="A3" s="63">
        <f t="shared" ref="A3:A16" si="1">A2+1</f>
        <v>2</v>
      </c>
      <c r="B3" s="64" t="s">
        <v>162</v>
      </c>
    </row>
    <row r="4">
      <c r="A4" s="63">
        <f t="shared" si="1"/>
        <v>3</v>
      </c>
      <c r="B4" s="64" t="s">
        <v>162</v>
      </c>
    </row>
    <row r="5">
      <c r="A5" s="63">
        <f t="shared" si="1"/>
        <v>4</v>
      </c>
      <c r="B5" s="44" t="s">
        <v>163</v>
      </c>
    </row>
    <row r="6">
      <c r="A6" s="63">
        <f t="shared" si="1"/>
        <v>5</v>
      </c>
      <c r="B6" s="64" t="s">
        <v>164</v>
      </c>
    </row>
    <row r="7">
      <c r="A7" s="63">
        <f t="shared" si="1"/>
        <v>6</v>
      </c>
      <c r="B7" s="64" t="s">
        <v>165</v>
      </c>
    </row>
    <row r="8">
      <c r="A8" s="63">
        <f t="shared" si="1"/>
        <v>7</v>
      </c>
      <c r="B8" s="64" t="s">
        <v>166</v>
      </c>
    </row>
    <row r="9">
      <c r="A9" s="63">
        <f t="shared" si="1"/>
        <v>8</v>
      </c>
      <c r="B9" s="64" t="s">
        <v>167</v>
      </c>
    </row>
    <row r="10">
      <c r="A10" s="63">
        <f t="shared" si="1"/>
        <v>9</v>
      </c>
      <c r="B10" s="64" t="s">
        <v>168</v>
      </c>
    </row>
    <row r="11">
      <c r="A11" s="63">
        <f t="shared" si="1"/>
        <v>10</v>
      </c>
      <c r="B11" s="64" t="s">
        <v>169</v>
      </c>
    </row>
    <row r="12">
      <c r="A12" s="63">
        <f t="shared" si="1"/>
        <v>11</v>
      </c>
      <c r="B12" s="64" t="s">
        <v>170</v>
      </c>
    </row>
    <row r="13">
      <c r="A13" s="63">
        <f t="shared" si="1"/>
        <v>12</v>
      </c>
      <c r="B13" s="64" t="s">
        <v>171</v>
      </c>
    </row>
    <row r="14">
      <c r="A14" s="63">
        <f t="shared" si="1"/>
        <v>13</v>
      </c>
      <c r="B14" s="64" t="s">
        <v>172</v>
      </c>
    </row>
    <row r="15">
      <c r="A15" s="63">
        <f t="shared" si="1"/>
        <v>14</v>
      </c>
      <c r="B15" s="64" t="s">
        <v>173</v>
      </c>
    </row>
    <row r="16">
      <c r="A16" s="63">
        <f t="shared" si="1"/>
        <v>15</v>
      </c>
      <c r="B16" s="64" t="s">
        <v>174</v>
      </c>
    </row>
    <row r="17">
      <c r="A17" s="63"/>
      <c r="B17" s="65"/>
    </row>
    <row r="18">
      <c r="A18" s="63"/>
      <c r="B18" s="65"/>
    </row>
    <row r="19">
      <c r="A19" s="66"/>
      <c r="B19" s="65"/>
    </row>
    <row r="20">
      <c r="A20" s="66"/>
      <c r="B20" s="65"/>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1" t="s">
        <v>160</v>
      </c>
      <c r="B1" s="62" t="s">
        <v>175</v>
      </c>
    </row>
    <row r="2">
      <c r="A2" s="63">
        <v>1.0</v>
      </c>
      <c r="B2" s="64">
        <f>'Mid-Project Release plan'!F9</f>
        <v>0</v>
      </c>
    </row>
    <row r="3">
      <c r="A3" s="63">
        <f t="shared" ref="A3:A15" si="1">A2+1</f>
        <v>2</v>
      </c>
      <c r="B3" s="64">
        <f>'Mid-Project Release plan'!F10</f>
        <v>11</v>
      </c>
    </row>
    <row r="4">
      <c r="A4" s="63">
        <f t="shared" si="1"/>
        <v>3</v>
      </c>
      <c r="B4" s="64">
        <f>'Mid-Project Release plan'!F11</f>
        <v>10</v>
      </c>
    </row>
    <row r="5">
      <c r="A5" s="63">
        <f t="shared" si="1"/>
        <v>4</v>
      </c>
      <c r="B5" s="64">
        <f>'Mid-Project Release plan'!F12</f>
        <v>12</v>
      </c>
    </row>
    <row r="6">
      <c r="A6" s="63">
        <f t="shared" si="1"/>
        <v>5</v>
      </c>
      <c r="B6" s="64">
        <f>'Mid-Project Release plan'!F13</f>
        <v>13</v>
      </c>
    </row>
    <row r="7">
      <c r="A7" s="63">
        <f t="shared" si="1"/>
        <v>6</v>
      </c>
      <c r="B7" s="64">
        <f>'Mid-Project Release plan'!F14</f>
        <v>18</v>
      </c>
    </row>
    <row r="8">
      <c r="A8" s="63">
        <f t="shared" si="1"/>
        <v>7</v>
      </c>
      <c r="B8" s="64">
        <f>'Final Project Release plan'!F9</f>
        <v>18</v>
      </c>
    </row>
    <row r="9">
      <c r="A9" s="63">
        <f t="shared" si="1"/>
        <v>8</v>
      </c>
      <c r="B9" s="64">
        <f>'Final Project Release plan'!F10</f>
        <v>13</v>
      </c>
    </row>
    <row r="10">
      <c r="A10" s="63">
        <f t="shared" si="1"/>
        <v>9</v>
      </c>
      <c r="B10" s="64">
        <f>'Final Project Release plan'!F11</f>
        <v>14</v>
      </c>
    </row>
    <row r="11">
      <c r="A11" s="63">
        <f t="shared" si="1"/>
        <v>10</v>
      </c>
      <c r="B11" s="64">
        <f>'Final Project Release plan'!F12</f>
        <v>15</v>
      </c>
    </row>
    <row r="12">
      <c r="A12" s="63">
        <f t="shared" si="1"/>
        <v>11</v>
      </c>
      <c r="B12" s="64">
        <f>'Final Project Release plan'!F13</f>
        <v>12</v>
      </c>
    </row>
    <row r="13">
      <c r="A13" s="63">
        <f t="shared" si="1"/>
        <v>12</v>
      </c>
      <c r="B13" s="64">
        <f>'Final Project Release plan'!F14</f>
        <v>0</v>
      </c>
    </row>
    <row r="14">
      <c r="A14" s="63">
        <f t="shared" si="1"/>
        <v>13</v>
      </c>
      <c r="B14" s="64">
        <f>'Final Project Release plan'!F15</f>
        <v>0</v>
      </c>
    </row>
    <row r="15">
      <c r="A15" s="63">
        <f t="shared" si="1"/>
        <v>14</v>
      </c>
      <c r="B15" s="64">
        <f>'Final Project Release plan'!F16</f>
        <v>0</v>
      </c>
    </row>
    <row r="16">
      <c r="A16" s="63"/>
      <c r="B16" s="64"/>
    </row>
    <row r="17">
      <c r="A17" s="63"/>
      <c r="B17" s="65"/>
    </row>
    <row r="18">
      <c r="A18" s="63"/>
      <c r="B18" s="67" t="s">
        <v>176</v>
      </c>
    </row>
    <row r="19">
      <c r="A19" s="66"/>
      <c r="B19" s="65"/>
    </row>
    <row r="20">
      <c r="A20" s="66"/>
      <c r="B20" s="65"/>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1"/>
      <c r="B1" s="62"/>
    </row>
    <row r="2">
      <c r="A2" s="63"/>
      <c r="B2" s="64"/>
    </row>
    <row r="3">
      <c r="A3" s="63"/>
      <c r="B3" s="64"/>
    </row>
    <row r="4">
      <c r="A4" s="63"/>
      <c r="B4" s="64"/>
    </row>
    <row r="5">
      <c r="A5" s="63"/>
    </row>
    <row r="6">
      <c r="A6" s="63"/>
      <c r="B6" s="64"/>
    </row>
    <row r="7">
      <c r="A7" s="63"/>
      <c r="B7" s="65"/>
    </row>
    <row r="8">
      <c r="A8" s="63"/>
      <c r="B8" s="65"/>
    </row>
    <row r="9">
      <c r="A9" s="63"/>
      <c r="B9" s="65"/>
    </row>
    <row r="10">
      <c r="A10" s="63"/>
      <c r="B10" s="65"/>
    </row>
    <row r="11">
      <c r="A11" s="63"/>
      <c r="B11" s="65"/>
    </row>
    <row r="12">
      <c r="A12" s="63"/>
      <c r="B12" s="65"/>
    </row>
    <row r="13">
      <c r="A13" s="63"/>
      <c r="B13" s="65"/>
    </row>
    <row r="14">
      <c r="A14" s="63"/>
      <c r="B14" s="65"/>
    </row>
    <row r="15">
      <c r="A15" s="63"/>
      <c r="B15" s="65"/>
    </row>
    <row r="16">
      <c r="A16" s="63"/>
      <c r="B16" s="65"/>
    </row>
    <row r="17">
      <c r="A17" s="63"/>
      <c r="B17" s="65"/>
    </row>
    <row r="18">
      <c r="A18" s="63"/>
      <c r="B18" s="67"/>
    </row>
    <row r="19">
      <c r="A19" s="66"/>
      <c r="B19" s="65"/>
    </row>
    <row r="20">
      <c r="A20" s="66"/>
      <c r="B20" s="65"/>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6.0"/>
    <col customWidth="1" min="3" max="3" width="62.63"/>
    <col customWidth="1" min="4" max="4" width="15.75"/>
    <col customWidth="1" min="5" max="5" width="15.0"/>
    <col customWidth="1" min="6" max="6" width="17.88"/>
    <col customWidth="1" min="7" max="7" width="15.75"/>
  </cols>
  <sheetData>
    <row r="1">
      <c r="A1" s="68" t="s">
        <v>177</v>
      </c>
      <c r="B1" s="69" t="s">
        <v>178</v>
      </c>
      <c r="C1" s="70" t="s">
        <v>179</v>
      </c>
      <c r="D1" s="71" t="s">
        <v>180</v>
      </c>
      <c r="E1" s="71" t="s">
        <v>181</v>
      </c>
      <c r="F1" s="71" t="s">
        <v>182</v>
      </c>
      <c r="G1" s="71" t="s">
        <v>183</v>
      </c>
    </row>
    <row r="2">
      <c r="A2" s="72"/>
      <c r="B2" s="73"/>
      <c r="C2" s="74"/>
      <c r="D2" s="74"/>
      <c r="E2" s="74"/>
      <c r="F2" s="74"/>
      <c r="G2" s="74"/>
    </row>
    <row r="3">
      <c r="A3" s="75" t="s">
        <v>184</v>
      </c>
      <c r="B3" s="76"/>
      <c r="C3" s="77"/>
      <c r="D3" s="77"/>
      <c r="E3" s="77"/>
      <c r="F3" s="77"/>
      <c r="G3" s="77"/>
    </row>
    <row r="4">
      <c r="A4" s="72"/>
      <c r="B4" s="73"/>
      <c r="C4" s="74"/>
      <c r="D4" s="74"/>
      <c r="E4" s="74"/>
      <c r="F4" s="74"/>
      <c r="G4" s="74"/>
    </row>
    <row r="5">
      <c r="A5" s="78" t="s">
        <v>185</v>
      </c>
      <c r="B5" s="79"/>
      <c r="C5" s="80"/>
      <c r="D5" s="81">
        <f>sum(D8:D15)</f>
        <v>65</v>
      </c>
      <c r="E5" s="81">
        <f>D5</f>
        <v>65</v>
      </c>
      <c r="F5" s="80"/>
      <c r="G5" s="80"/>
    </row>
    <row r="6">
      <c r="A6" s="72"/>
      <c r="B6" s="73"/>
      <c r="C6" s="74"/>
      <c r="D6" s="74"/>
      <c r="E6" s="74"/>
      <c r="F6" s="74"/>
      <c r="G6" s="74"/>
    </row>
    <row r="7">
      <c r="A7" s="82" t="s">
        <v>186</v>
      </c>
      <c r="B7" s="83"/>
      <c r="C7" s="84"/>
      <c r="D7" s="84"/>
      <c r="E7" s="84"/>
      <c r="F7" s="84"/>
      <c r="G7" s="84"/>
    </row>
    <row r="8">
      <c r="A8" s="72"/>
      <c r="B8" s="73"/>
      <c r="C8" s="74"/>
      <c r="D8" s="74"/>
      <c r="E8" s="85" t="s">
        <v>187</v>
      </c>
      <c r="F8" s="74"/>
      <c r="G8" s="85" t="s">
        <v>188</v>
      </c>
    </row>
    <row r="9">
      <c r="A9" s="86">
        <v>1.0</v>
      </c>
      <c r="B9" s="79" t="str">
        <f>'Sprint Goals'!B2</f>
        <v>None</v>
      </c>
      <c r="D9" s="81">
        <f>SUM(D19)</f>
        <v>0</v>
      </c>
      <c r="E9" s="81">
        <f>$D$5</f>
        <v>65</v>
      </c>
      <c r="F9" s="81">
        <f>sum(F18)</f>
        <v>0</v>
      </c>
      <c r="G9" s="81">
        <f>$D$5</f>
        <v>65</v>
      </c>
    </row>
    <row r="10">
      <c r="A10" s="72">
        <f t="shared" ref="A10:A11" si="1">A9+1</f>
        <v>2</v>
      </c>
      <c r="B10" s="79" t="str">
        <f>'Sprint Goals'!B3</f>
        <v>None</v>
      </c>
      <c r="D10" s="87">
        <f>SUM(D21:D26)</f>
        <v>11</v>
      </c>
      <c r="E10" s="87">
        <f t="shared" ref="E10:E14" si="2">E9-D10</f>
        <v>54</v>
      </c>
      <c r="F10" s="87">
        <f>SUM(F20:F26)</f>
        <v>11</v>
      </c>
      <c r="G10" s="87">
        <f t="shared" ref="G10:G14" si="3">G9-F10</f>
        <v>54</v>
      </c>
    </row>
    <row r="11">
      <c r="A11" s="86">
        <f t="shared" si="1"/>
        <v>3</v>
      </c>
      <c r="B11" s="79" t="str">
        <f>'Sprint Goals'!B4</f>
        <v>None</v>
      </c>
      <c r="D11" s="81">
        <f>SUM(D29:D33)</f>
        <v>9</v>
      </c>
      <c r="E11" s="81">
        <f t="shared" si="2"/>
        <v>45</v>
      </c>
      <c r="F11" s="81">
        <f>sum(F28:F33)</f>
        <v>10</v>
      </c>
      <c r="G11" s="81">
        <f t="shared" si="3"/>
        <v>44</v>
      </c>
    </row>
    <row r="12">
      <c r="A12" s="88">
        <v>4.0</v>
      </c>
      <c r="B12" s="89" t="str">
        <f>'Sprint Goals'!B5</f>
        <v>Optional</v>
      </c>
      <c r="C12" s="90"/>
      <c r="D12" s="87">
        <f>SUM(D35:D40)</f>
        <v>14</v>
      </c>
      <c r="E12" s="87">
        <f t="shared" si="2"/>
        <v>31</v>
      </c>
      <c r="F12" s="87">
        <f>SUM(F22:F29)</f>
        <v>12</v>
      </c>
      <c r="G12" s="87">
        <f t="shared" si="3"/>
        <v>32</v>
      </c>
    </row>
    <row r="13">
      <c r="A13" s="86">
        <f>A12+1</f>
        <v>5</v>
      </c>
      <c r="B13" s="79" t="str">
        <f>'Sprint Goals'!B6</f>
        <v>Establish a working foundation for the forecasting pipeline</v>
      </c>
      <c r="D13" s="81">
        <f>SUM(D43:D48)</f>
        <v>15</v>
      </c>
      <c r="E13" s="81">
        <f t="shared" si="2"/>
        <v>16</v>
      </c>
      <c r="F13" s="81">
        <f>SUM(F43:F48)</f>
        <v>13</v>
      </c>
      <c r="G13" s="81">
        <f t="shared" si="3"/>
        <v>19</v>
      </c>
    </row>
    <row r="14">
      <c r="A14" s="88">
        <v>6.0</v>
      </c>
      <c r="B14" s="89" t="str">
        <f>'Sprint Goals'!B7</f>
        <v>Integrate the pipeline into the existing software</v>
      </c>
      <c r="C14" s="90"/>
      <c r="D14" s="87">
        <f>SUM(D51:D57)</f>
        <v>16</v>
      </c>
      <c r="E14" s="87">
        <f t="shared" si="2"/>
        <v>0</v>
      </c>
      <c r="F14" s="87">
        <f>SUM(F51:F58)</f>
        <v>18</v>
      </c>
      <c r="G14" s="87">
        <f t="shared" si="3"/>
        <v>1</v>
      </c>
    </row>
    <row r="15">
      <c r="A15" s="86"/>
      <c r="B15" s="91"/>
      <c r="C15" s="80"/>
      <c r="D15" s="80"/>
      <c r="E15" s="80"/>
      <c r="F15" s="80"/>
      <c r="G15" s="80"/>
    </row>
    <row r="16">
      <c r="A16" s="92" t="s">
        <v>189</v>
      </c>
      <c r="B16" s="93"/>
      <c r="C16" s="94"/>
      <c r="D16" s="94"/>
      <c r="E16" s="94"/>
      <c r="F16" s="94"/>
      <c r="G16" s="94"/>
    </row>
    <row r="17">
      <c r="A17" s="86"/>
      <c r="B17" s="78"/>
      <c r="C17" s="80"/>
      <c r="D17" s="80"/>
      <c r="E17" s="80"/>
      <c r="F17" s="80"/>
      <c r="G17" s="80"/>
    </row>
    <row r="18">
      <c r="A18" s="95">
        <f t="shared" ref="A18:B18" si="4">A9</f>
        <v>1</v>
      </c>
      <c r="B18" s="96" t="str">
        <f t="shared" si="4"/>
        <v>None</v>
      </c>
      <c r="C18" s="74"/>
      <c r="D18" s="74"/>
      <c r="E18" s="74"/>
      <c r="F18" s="74"/>
      <c r="G18" s="74"/>
    </row>
    <row r="19">
      <c r="A19" s="86"/>
      <c r="B19" s="91"/>
      <c r="C19" s="80"/>
      <c r="D19" s="81"/>
      <c r="E19" s="80"/>
      <c r="F19" s="81"/>
      <c r="G19" s="80"/>
    </row>
    <row r="20">
      <c r="A20" s="95">
        <f t="shared" ref="A20:B20" si="5">A10</f>
        <v>2</v>
      </c>
      <c r="B20" s="96" t="str">
        <f t="shared" si="5"/>
        <v>None</v>
      </c>
      <c r="C20" s="74"/>
      <c r="D20" s="74"/>
      <c r="E20" s="74"/>
      <c r="F20" s="74"/>
      <c r="G20" s="74"/>
    </row>
    <row r="21">
      <c r="A21" s="86"/>
      <c r="B21" s="91"/>
      <c r="C21" s="97" t="s">
        <v>190</v>
      </c>
      <c r="D21" s="97">
        <v>1.0</v>
      </c>
      <c r="E21" s="97"/>
      <c r="F21" s="97">
        <v>1.0</v>
      </c>
      <c r="G21" s="80"/>
    </row>
    <row r="22">
      <c r="A22" s="98"/>
      <c r="B22" s="99"/>
      <c r="C22" s="89" t="s">
        <v>191</v>
      </c>
      <c r="D22" s="100">
        <v>2.0</v>
      </c>
      <c r="E22" s="99"/>
      <c r="F22" s="100">
        <v>2.0</v>
      </c>
      <c r="G22" s="99"/>
    </row>
    <row r="23">
      <c r="A23" s="86"/>
      <c r="B23" s="91"/>
      <c r="C23" s="44" t="s">
        <v>192</v>
      </c>
      <c r="D23" s="44">
        <v>2.0</v>
      </c>
      <c r="F23" s="44">
        <v>2.0</v>
      </c>
      <c r="G23" s="80"/>
    </row>
    <row r="24">
      <c r="A24" s="98"/>
      <c r="B24" s="99"/>
      <c r="C24" s="89" t="s">
        <v>193</v>
      </c>
      <c r="D24" s="100">
        <v>2.0</v>
      </c>
      <c r="E24" s="99"/>
      <c r="F24" s="100">
        <v>2.0</v>
      </c>
      <c r="G24" s="99"/>
    </row>
    <row r="25">
      <c r="A25" s="86"/>
      <c r="B25" s="91"/>
      <c r="C25" s="97" t="s">
        <v>194</v>
      </c>
      <c r="D25" s="101">
        <v>2.0</v>
      </c>
      <c r="E25" s="80"/>
      <c r="F25" s="101">
        <v>2.0</v>
      </c>
      <c r="G25" s="80"/>
    </row>
    <row r="26">
      <c r="A26" s="98"/>
      <c r="B26" s="99"/>
      <c r="C26" s="90" t="s">
        <v>195</v>
      </c>
      <c r="D26" s="100">
        <v>2.0</v>
      </c>
      <c r="E26" s="74"/>
      <c r="F26" s="100">
        <v>2.0</v>
      </c>
      <c r="G26" s="74"/>
    </row>
    <row r="27">
      <c r="A27" s="86"/>
      <c r="B27" s="91"/>
      <c r="C27" s="80"/>
      <c r="D27" s="81"/>
      <c r="E27" s="80"/>
      <c r="F27" s="80"/>
      <c r="G27" s="80"/>
    </row>
    <row r="28">
      <c r="A28" s="95">
        <f t="shared" ref="A28:B28" si="6">A11</f>
        <v>3</v>
      </c>
      <c r="B28" s="96" t="str">
        <f t="shared" si="6"/>
        <v>None</v>
      </c>
      <c r="C28" s="74"/>
      <c r="D28" s="74"/>
      <c r="E28" s="74"/>
      <c r="F28" s="74"/>
      <c r="G28" s="74"/>
    </row>
    <row r="29">
      <c r="A29" s="86"/>
      <c r="B29" s="91"/>
      <c r="C29" s="97" t="s">
        <v>196</v>
      </c>
      <c r="D29" s="97">
        <v>2.0</v>
      </c>
      <c r="E29" s="80"/>
      <c r="F29" s="97">
        <v>2.0</v>
      </c>
      <c r="G29" s="80"/>
    </row>
    <row r="30">
      <c r="A30" s="98"/>
      <c r="B30" s="99"/>
      <c r="C30" s="89" t="s">
        <v>197</v>
      </c>
      <c r="D30" s="100">
        <v>1.0</v>
      </c>
      <c r="E30" s="99"/>
      <c r="F30" s="89">
        <v>1.0</v>
      </c>
      <c r="G30" s="99"/>
    </row>
    <row r="31">
      <c r="A31" s="86"/>
      <c r="B31" s="91"/>
      <c r="C31" s="97" t="s">
        <v>198</v>
      </c>
      <c r="D31" s="101">
        <v>1.0</v>
      </c>
      <c r="E31" s="80"/>
      <c r="F31" s="97">
        <v>2.0</v>
      </c>
      <c r="G31" s="80"/>
    </row>
    <row r="32">
      <c r="A32" s="98"/>
      <c r="B32" s="99"/>
      <c r="C32" s="89" t="s">
        <v>199</v>
      </c>
      <c r="D32" s="100">
        <v>3.0</v>
      </c>
      <c r="E32" s="99"/>
      <c r="F32" s="89">
        <v>3.0</v>
      </c>
      <c r="G32" s="99"/>
    </row>
    <row r="33">
      <c r="A33" s="86"/>
      <c r="B33" s="91"/>
      <c r="C33" s="97" t="s">
        <v>195</v>
      </c>
      <c r="D33" s="101">
        <v>2.0</v>
      </c>
      <c r="E33" s="80"/>
      <c r="F33" s="101">
        <v>2.0</v>
      </c>
      <c r="G33" s="80"/>
    </row>
    <row r="34">
      <c r="A34" s="98">
        <f t="shared" ref="A34:B34" si="7">A12</f>
        <v>4</v>
      </c>
      <c r="B34" s="96" t="str">
        <f t="shared" si="7"/>
        <v>Optional</v>
      </c>
      <c r="C34" s="99"/>
      <c r="D34" s="87"/>
      <c r="E34" s="99"/>
      <c r="F34" s="99"/>
      <c r="G34" s="99"/>
    </row>
    <row r="35">
      <c r="A35" s="86"/>
      <c r="B35" s="91"/>
      <c r="C35" s="97" t="s">
        <v>200</v>
      </c>
      <c r="D35" s="101">
        <v>2.0</v>
      </c>
      <c r="E35" s="80"/>
      <c r="F35" s="102" t="s">
        <v>201</v>
      </c>
      <c r="G35" s="80"/>
    </row>
    <row r="36">
      <c r="A36" s="98"/>
      <c r="B36" s="99"/>
      <c r="C36" s="89" t="s">
        <v>202</v>
      </c>
      <c r="D36" s="100">
        <v>2.0</v>
      </c>
      <c r="E36" s="99"/>
      <c r="F36" s="89">
        <v>3.0</v>
      </c>
      <c r="G36" s="99"/>
    </row>
    <row r="37">
      <c r="A37" s="86"/>
      <c r="B37" s="91"/>
      <c r="C37" s="97" t="s">
        <v>203</v>
      </c>
      <c r="D37" s="101">
        <v>3.0</v>
      </c>
      <c r="E37" s="80"/>
      <c r="F37" s="97">
        <v>3.0</v>
      </c>
      <c r="G37" s="80"/>
    </row>
    <row r="38">
      <c r="A38" s="98"/>
      <c r="B38" s="99"/>
      <c r="C38" s="89" t="s">
        <v>204</v>
      </c>
      <c r="D38" s="100">
        <v>2.0</v>
      </c>
      <c r="E38" s="99"/>
      <c r="F38" s="89">
        <v>2.0</v>
      </c>
      <c r="G38" s="99"/>
    </row>
    <row r="39">
      <c r="A39" s="86"/>
      <c r="B39" s="91"/>
      <c r="C39" s="97" t="s">
        <v>205</v>
      </c>
      <c r="D39" s="101">
        <v>2.0</v>
      </c>
      <c r="E39" s="80"/>
      <c r="F39" s="102">
        <v>2.0</v>
      </c>
      <c r="G39" s="80"/>
    </row>
    <row r="40">
      <c r="A40" s="98"/>
      <c r="B40" s="99"/>
      <c r="C40" s="89" t="s">
        <v>206</v>
      </c>
      <c r="D40" s="100">
        <v>3.0</v>
      </c>
      <c r="E40" s="99"/>
      <c r="F40" s="89">
        <v>2.0</v>
      </c>
      <c r="G40" s="99"/>
    </row>
    <row r="41">
      <c r="A41" s="86"/>
      <c r="B41" s="91"/>
      <c r="C41" s="80"/>
      <c r="D41" s="81"/>
      <c r="E41" s="80"/>
      <c r="F41" s="80"/>
      <c r="G41" s="80"/>
    </row>
    <row r="42">
      <c r="A42" s="98">
        <f t="shared" ref="A42:B42" si="8">A13</f>
        <v>5</v>
      </c>
      <c r="B42" s="96" t="str">
        <f t="shared" si="8"/>
        <v>Establish a working foundation for the forecasting pipeline</v>
      </c>
      <c r="C42" s="99"/>
      <c r="D42" s="87"/>
      <c r="E42" s="99"/>
      <c r="F42" s="99"/>
      <c r="G42" s="99"/>
    </row>
    <row r="43">
      <c r="A43" s="86"/>
      <c r="B43" s="91"/>
      <c r="C43" s="97" t="s">
        <v>207</v>
      </c>
      <c r="D43" s="101">
        <v>2.0</v>
      </c>
      <c r="E43" s="80"/>
      <c r="F43" s="97">
        <v>2.0</v>
      </c>
      <c r="G43" s="80"/>
    </row>
    <row r="44">
      <c r="A44" s="98"/>
      <c r="B44" s="99"/>
      <c r="C44" s="89" t="s">
        <v>208</v>
      </c>
      <c r="D44" s="100">
        <v>2.0</v>
      </c>
      <c r="E44" s="99"/>
      <c r="F44" s="89">
        <v>2.0</v>
      </c>
      <c r="G44" s="99"/>
    </row>
    <row r="45">
      <c r="A45" s="86"/>
      <c r="B45" s="91"/>
      <c r="C45" s="97" t="s">
        <v>209</v>
      </c>
      <c r="D45" s="101">
        <v>3.0</v>
      </c>
      <c r="E45" s="80"/>
      <c r="F45" s="97">
        <v>3.0</v>
      </c>
      <c r="G45" s="80"/>
    </row>
    <row r="46">
      <c r="A46" s="98"/>
      <c r="B46" s="99"/>
      <c r="C46" s="89" t="s">
        <v>210</v>
      </c>
      <c r="D46" s="100">
        <v>2.0</v>
      </c>
      <c r="E46" s="99"/>
      <c r="F46" s="89">
        <v>1.0</v>
      </c>
      <c r="G46" s="99"/>
    </row>
    <row r="47">
      <c r="A47" s="86"/>
      <c r="B47" s="91"/>
      <c r="C47" s="97" t="s">
        <v>211</v>
      </c>
      <c r="D47" s="101">
        <v>3.0</v>
      </c>
      <c r="E47" s="80"/>
      <c r="F47" s="97">
        <v>3.0</v>
      </c>
      <c r="G47" s="80"/>
    </row>
    <row r="48">
      <c r="A48" s="98"/>
      <c r="B48" s="99"/>
      <c r="C48" s="89" t="s">
        <v>212</v>
      </c>
      <c r="D48" s="100">
        <v>3.0</v>
      </c>
      <c r="E48" s="99"/>
      <c r="F48" s="89">
        <v>2.0</v>
      </c>
      <c r="G48" s="99"/>
    </row>
    <row r="49">
      <c r="A49" s="86"/>
      <c r="B49" s="91"/>
      <c r="C49" s="80"/>
      <c r="D49" s="81"/>
      <c r="E49" s="80"/>
      <c r="F49" s="80"/>
      <c r="G49" s="80"/>
    </row>
    <row r="50">
      <c r="A50" s="88">
        <v>6.0</v>
      </c>
      <c r="B50" s="96" t="str">
        <f>B14</f>
        <v>Integrate the pipeline into the existing software</v>
      </c>
      <c r="C50" s="99"/>
      <c r="D50" s="87"/>
      <c r="E50" s="99"/>
      <c r="F50" s="99"/>
      <c r="G50" s="99"/>
    </row>
    <row r="51">
      <c r="A51" s="86"/>
      <c r="B51" s="91"/>
      <c r="C51" s="97" t="s">
        <v>213</v>
      </c>
      <c r="D51" s="101">
        <v>3.0</v>
      </c>
      <c r="E51" s="80"/>
      <c r="F51" s="97">
        <v>3.0</v>
      </c>
      <c r="G51" s="80"/>
    </row>
    <row r="52">
      <c r="A52" s="98"/>
      <c r="B52" s="99"/>
      <c r="C52" s="89" t="s">
        <v>214</v>
      </c>
      <c r="D52" s="100">
        <v>2.0</v>
      </c>
      <c r="E52" s="99"/>
      <c r="F52" s="89">
        <v>2.0</v>
      </c>
      <c r="G52" s="99"/>
    </row>
    <row r="53">
      <c r="A53" s="86"/>
      <c r="B53" s="91"/>
      <c r="C53" s="97" t="s">
        <v>215</v>
      </c>
      <c r="D53" s="101">
        <v>2.0</v>
      </c>
      <c r="E53" s="80"/>
      <c r="F53" s="97">
        <v>2.0</v>
      </c>
      <c r="G53" s="80"/>
    </row>
    <row r="54">
      <c r="A54" s="98"/>
      <c r="B54" s="99"/>
      <c r="C54" s="89" t="s">
        <v>216</v>
      </c>
      <c r="D54" s="100">
        <v>2.0</v>
      </c>
      <c r="E54" s="99"/>
      <c r="F54" s="89">
        <v>2.0</v>
      </c>
      <c r="G54" s="99"/>
    </row>
    <row r="55">
      <c r="A55" s="86"/>
      <c r="B55" s="91"/>
      <c r="C55" s="97" t="s">
        <v>217</v>
      </c>
      <c r="D55" s="101">
        <v>3.0</v>
      </c>
      <c r="E55" s="80"/>
      <c r="F55" s="97">
        <v>5.0</v>
      </c>
      <c r="G55" s="80"/>
    </row>
    <row r="56">
      <c r="A56" s="98"/>
      <c r="B56" s="99"/>
      <c r="C56" s="89" t="s">
        <v>218</v>
      </c>
      <c r="D56" s="100">
        <v>1.0</v>
      </c>
      <c r="E56" s="99"/>
      <c r="F56" s="100">
        <v>1.0</v>
      </c>
      <c r="G56" s="99"/>
    </row>
    <row r="57">
      <c r="A57" s="86"/>
      <c r="B57" s="91"/>
      <c r="C57" s="97" t="s">
        <v>219</v>
      </c>
      <c r="D57" s="101">
        <v>3.0</v>
      </c>
      <c r="E57" s="80"/>
      <c r="F57" s="97">
        <v>3.0</v>
      </c>
      <c r="G57" s="80"/>
    </row>
    <row r="58">
      <c r="A58" s="98"/>
      <c r="B58" s="99"/>
      <c r="C58" s="89"/>
      <c r="D58" s="100"/>
      <c r="E58" s="99"/>
      <c r="F58" s="99"/>
      <c r="G58" s="99"/>
    </row>
    <row r="59">
      <c r="A59" s="86"/>
      <c r="B59" s="91"/>
      <c r="C59" s="80"/>
      <c r="D59" s="81"/>
      <c r="E59" s="80"/>
      <c r="F59" s="80"/>
      <c r="G59" s="80"/>
    </row>
    <row r="60">
      <c r="A60" s="98"/>
      <c r="B60" s="99"/>
      <c r="C60" s="99"/>
      <c r="D60" s="87"/>
      <c r="E60" s="99"/>
      <c r="F60" s="99"/>
      <c r="G60" s="99"/>
    </row>
    <row r="61">
      <c r="A61" s="86"/>
      <c r="B61" s="91"/>
      <c r="C61" s="80"/>
      <c r="D61" s="81"/>
      <c r="E61" s="80"/>
      <c r="F61" s="80"/>
      <c r="G61" s="80"/>
    </row>
    <row r="62">
      <c r="A62" s="98"/>
      <c r="B62" s="99"/>
      <c r="C62" s="99"/>
      <c r="D62" s="87"/>
      <c r="E62" s="99"/>
      <c r="F62" s="99"/>
      <c r="G62" s="99"/>
    </row>
    <row r="63">
      <c r="A63" s="86"/>
      <c r="B63" s="91"/>
      <c r="C63" s="80"/>
      <c r="D63" s="81"/>
      <c r="E63" s="80"/>
      <c r="F63" s="80"/>
      <c r="G63" s="80"/>
    </row>
    <row r="64">
      <c r="A64" s="98"/>
      <c r="B64" s="99"/>
      <c r="C64" s="99"/>
      <c r="D64" s="87"/>
      <c r="E64" s="99"/>
      <c r="F64" s="99"/>
      <c r="G64" s="99"/>
    </row>
    <row r="65">
      <c r="A65" s="86"/>
      <c r="B65" s="91"/>
      <c r="C65" s="80"/>
      <c r="D65" s="81"/>
      <c r="E65" s="80"/>
      <c r="F65" s="80"/>
      <c r="G65" s="80"/>
    </row>
    <row r="66">
      <c r="A66" s="98"/>
      <c r="B66" s="99"/>
      <c r="C66" s="99"/>
      <c r="D66" s="87"/>
      <c r="E66" s="99"/>
      <c r="F66" s="99"/>
      <c r="G66" s="99"/>
    </row>
    <row r="67">
      <c r="A67" s="86"/>
      <c r="B67" s="91"/>
      <c r="C67" s="80"/>
      <c r="D67" s="81"/>
      <c r="E67" s="80"/>
      <c r="F67" s="80"/>
      <c r="G67" s="80"/>
    </row>
    <row r="68">
      <c r="A68" s="98"/>
      <c r="B68" s="99"/>
      <c r="C68" s="99"/>
      <c r="D68" s="87"/>
      <c r="E68" s="99"/>
      <c r="F68" s="99"/>
      <c r="G68" s="99"/>
    </row>
    <row r="69">
      <c r="A69" s="86"/>
      <c r="B69" s="91"/>
      <c r="C69" s="80"/>
      <c r="D69" s="81"/>
      <c r="E69" s="80"/>
      <c r="F69" s="80"/>
      <c r="G69" s="80"/>
    </row>
    <row r="70">
      <c r="A70" s="98"/>
      <c r="B70" s="99"/>
      <c r="C70" s="103" t="s">
        <v>220</v>
      </c>
      <c r="D70" s="74"/>
      <c r="E70" s="74"/>
      <c r="F70" s="74"/>
      <c r="G70" s="74"/>
    </row>
    <row r="71">
      <c r="A71" s="98"/>
      <c r="B71" s="99"/>
      <c r="C71" s="74"/>
      <c r="D71" s="74"/>
      <c r="E71" s="74"/>
      <c r="F71" s="74"/>
      <c r="G71" s="74"/>
    </row>
    <row r="72">
      <c r="A72" s="98"/>
      <c r="B72" s="99"/>
      <c r="C72" s="74"/>
      <c r="D72" s="74"/>
      <c r="E72" s="74"/>
      <c r="F72" s="74"/>
      <c r="G72" s="74"/>
    </row>
    <row r="73">
      <c r="A73" s="98"/>
      <c r="B73" s="99"/>
      <c r="C73" s="74"/>
      <c r="D73" s="74"/>
      <c r="E73" s="74"/>
      <c r="F73" s="74"/>
      <c r="G73" s="74"/>
    </row>
    <row r="74">
      <c r="A74" s="98"/>
      <c r="B74" s="99"/>
      <c r="C74" s="74"/>
      <c r="D74" s="74"/>
      <c r="E74" s="74"/>
      <c r="F74" s="74"/>
      <c r="G74" s="74"/>
    </row>
    <row r="75">
      <c r="A75" s="98"/>
      <c r="B75" s="99"/>
      <c r="C75" s="74"/>
      <c r="D75" s="74"/>
      <c r="E75" s="74"/>
      <c r="F75" s="74"/>
      <c r="G75" s="74"/>
    </row>
    <row r="76">
      <c r="A76" s="98"/>
      <c r="B76" s="99"/>
      <c r="C76" s="74"/>
      <c r="D76" s="74"/>
      <c r="E76" s="74"/>
      <c r="F76" s="74"/>
      <c r="G76" s="74"/>
    </row>
    <row r="77">
      <c r="A77" s="98"/>
      <c r="B77" s="99"/>
      <c r="C77" s="74"/>
      <c r="D77" s="74"/>
      <c r="E77" s="74"/>
      <c r="F77" s="74"/>
      <c r="G77" s="74"/>
    </row>
    <row r="78">
      <c r="A78" s="98"/>
      <c r="B78" s="99"/>
      <c r="C78" s="74"/>
      <c r="D78" s="74"/>
      <c r="E78" s="74"/>
      <c r="F78" s="74"/>
      <c r="G78" s="74"/>
    </row>
    <row r="79">
      <c r="A79" s="98"/>
      <c r="B79" s="99"/>
      <c r="C79" s="74"/>
      <c r="D79" s="74"/>
      <c r="E79" s="74"/>
      <c r="F79" s="74"/>
      <c r="G79" s="74"/>
    </row>
    <row r="80">
      <c r="A80" s="98"/>
      <c r="B80" s="99"/>
      <c r="C80" s="74"/>
      <c r="D80" s="74"/>
      <c r="E80" s="74"/>
      <c r="F80" s="74"/>
      <c r="G80" s="74"/>
    </row>
    <row r="81">
      <c r="A81" s="98"/>
      <c r="B81" s="99"/>
      <c r="C81" s="74"/>
      <c r="D81" s="74"/>
      <c r="E81" s="74"/>
      <c r="F81" s="74"/>
      <c r="G81" s="74"/>
    </row>
    <row r="82">
      <c r="A82" s="98"/>
      <c r="B82" s="99"/>
      <c r="C82" s="74"/>
      <c r="D82" s="74"/>
      <c r="E82" s="74"/>
      <c r="F82" s="74"/>
      <c r="G82" s="74"/>
    </row>
    <row r="83">
      <c r="A83" s="98"/>
      <c r="B83" s="99"/>
      <c r="C83" s="74"/>
      <c r="D83" s="74"/>
      <c r="E83" s="74"/>
      <c r="F83" s="74"/>
      <c r="G83" s="74"/>
    </row>
    <row r="84">
      <c r="A84" s="98"/>
      <c r="B84" s="99"/>
      <c r="C84" s="74"/>
      <c r="D84" s="74"/>
      <c r="E84" s="74"/>
      <c r="F84" s="74"/>
      <c r="G84" s="74"/>
    </row>
    <row r="85">
      <c r="A85" s="98"/>
      <c r="B85" s="99"/>
      <c r="C85" s="74"/>
      <c r="D85" s="74"/>
      <c r="E85" s="74"/>
      <c r="F85" s="74"/>
      <c r="G85" s="74"/>
    </row>
    <row r="86">
      <c r="A86" s="98"/>
      <c r="B86" s="99"/>
      <c r="C86" s="74"/>
      <c r="D86" s="74"/>
      <c r="E86" s="74"/>
      <c r="F86" s="74"/>
      <c r="G86" s="74"/>
    </row>
    <row r="87">
      <c r="A87" s="98"/>
      <c r="B87" s="99"/>
      <c r="C87" s="74"/>
      <c r="D87" s="74"/>
      <c r="E87" s="74"/>
      <c r="F87" s="74"/>
      <c r="G87" s="74"/>
    </row>
    <row r="88">
      <c r="A88" s="98"/>
      <c r="B88" s="99"/>
      <c r="C88" s="74"/>
      <c r="D88" s="74"/>
      <c r="E88" s="74"/>
      <c r="F88" s="74"/>
      <c r="G88" s="74"/>
    </row>
    <row r="89">
      <c r="A89" s="98"/>
      <c r="B89" s="99"/>
      <c r="C89" s="74"/>
      <c r="D89" s="74"/>
      <c r="E89" s="74"/>
      <c r="F89" s="74"/>
      <c r="G89" s="74"/>
    </row>
    <row r="90">
      <c r="A90" s="98"/>
      <c r="B90" s="99"/>
      <c r="C90" s="74"/>
      <c r="D90" s="74"/>
      <c r="E90" s="74"/>
      <c r="F90" s="74"/>
      <c r="G90" s="74"/>
    </row>
    <row r="91">
      <c r="A91" s="98"/>
      <c r="B91" s="99"/>
      <c r="C91" s="74"/>
      <c r="D91" s="74"/>
      <c r="E91" s="74"/>
      <c r="F91" s="74"/>
      <c r="G91" s="74"/>
    </row>
    <row r="92">
      <c r="A92" s="98"/>
      <c r="B92" s="99"/>
      <c r="C92" s="74"/>
      <c r="D92" s="74"/>
      <c r="E92" s="74"/>
      <c r="F92" s="74"/>
      <c r="G92" s="74"/>
    </row>
    <row r="93">
      <c r="A93" s="98"/>
      <c r="B93" s="99"/>
      <c r="C93" s="74"/>
      <c r="D93" s="74"/>
      <c r="E93" s="74"/>
      <c r="F93" s="74"/>
      <c r="G93" s="74"/>
    </row>
    <row r="94">
      <c r="A94" s="98"/>
      <c r="B94" s="99"/>
      <c r="C94" s="74"/>
      <c r="D94" s="74"/>
      <c r="E94" s="74"/>
      <c r="F94" s="74"/>
      <c r="G94" s="74"/>
    </row>
    <row r="95">
      <c r="A95" s="98"/>
      <c r="B95" s="99"/>
      <c r="C95" s="74"/>
      <c r="D95" s="74"/>
      <c r="E95" s="74"/>
      <c r="F95" s="74"/>
      <c r="G95" s="74"/>
    </row>
    <row r="96">
      <c r="A96" s="98"/>
      <c r="B96" s="99"/>
      <c r="C96" s="74"/>
      <c r="D96" s="74"/>
      <c r="E96" s="74"/>
      <c r="F96" s="74"/>
      <c r="G96" s="74"/>
    </row>
    <row r="97">
      <c r="A97" s="98"/>
      <c r="B97" s="99"/>
      <c r="C97" s="74"/>
      <c r="D97" s="74"/>
      <c r="E97" s="74"/>
      <c r="F97" s="74"/>
      <c r="G97" s="74"/>
    </row>
    <row r="98">
      <c r="A98" s="98"/>
      <c r="B98" s="99"/>
      <c r="C98" s="74"/>
      <c r="D98" s="74"/>
      <c r="E98" s="74"/>
      <c r="F98" s="74"/>
      <c r="G98" s="74"/>
    </row>
    <row r="99">
      <c r="A99" s="98"/>
      <c r="B99" s="99"/>
      <c r="C99" s="74"/>
      <c r="D99" s="74"/>
      <c r="E99" s="74"/>
      <c r="F99" s="74"/>
      <c r="G99" s="74"/>
    </row>
    <row r="100">
      <c r="A100" s="98"/>
      <c r="B100" s="99"/>
      <c r="C100" s="74"/>
      <c r="D100" s="74"/>
      <c r="E100" s="74"/>
      <c r="F100" s="74"/>
      <c r="G100" s="74"/>
    </row>
    <row r="101">
      <c r="A101" s="98"/>
      <c r="B101" s="99"/>
      <c r="C101" s="74"/>
      <c r="D101" s="74"/>
      <c r="E101" s="74"/>
      <c r="F101" s="74"/>
      <c r="G101" s="74"/>
    </row>
    <row r="102">
      <c r="A102" s="98"/>
      <c r="B102" s="99"/>
      <c r="C102" s="74"/>
      <c r="D102" s="74"/>
      <c r="E102" s="74"/>
      <c r="F102" s="74"/>
      <c r="G102" s="74"/>
    </row>
    <row r="103">
      <c r="A103" s="98"/>
      <c r="B103" s="99"/>
      <c r="C103" s="74"/>
      <c r="D103" s="74"/>
      <c r="E103" s="74"/>
      <c r="F103" s="74"/>
      <c r="G103" s="74"/>
    </row>
    <row r="104">
      <c r="A104" s="98"/>
      <c r="B104" s="99"/>
      <c r="C104" s="74"/>
      <c r="D104" s="74"/>
      <c r="E104" s="74"/>
      <c r="F104" s="74"/>
      <c r="G104" s="74"/>
    </row>
    <row r="105">
      <c r="A105" s="98"/>
      <c r="B105" s="99"/>
      <c r="C105" s="74"/>
      <c r="D105" s="74"/>
      <c r="E105" s="74"/>
      <c r="F105" s="74"/>
      <c r="G105" s="74"/>
    </row>
    <row r="106">
      <c r="A106" s="98"/>
      <c r="B106" s="99"/>
      <c r="C106" s="74"/>
      <c r="D106" s="74"/>
      <c r="E106" s="74"/>
      <c r="F106" s="74"/>
      <c r="G106" s="74"/>
    </row>
    <row r="107">
      <c r="A107" s="98"/>
      <c r="B107" s="99"/>
      <c r="C107" s="74"/>
      <c r="D107" s="74"/>
      <c r="E107" s="74"/>
      <c r="F107" s="74"/>
      <c r="G107" s="74"/>
    </row>
    <row r="108">
      <c r="A108" s="98"/>
      <c r="B108" s="99"/>
      <c r="C108" s="74"/>
      <c r="D108" s="74"/>
      <c r="E108" s="74"/>
      <c r="F108" s="74"/>
      <c r="G108" s="74"/>
    </row>
    <row r="109">
      <c r="A109" s="98"/>
      <c r="B109" s="99"/>
      <c r="C109" s="74"/>
      <c r="D109" s="74"/>
      <c r="E109" s="74"/>
      <c r="F109" s="74"/>
      <c r="G109" s="74"/>
    </row>
    <row r="110">
      <c r="A110" s="98"/>
      <c r="B110" s="99"/>
      <c r="C110" s="74"/>
      <c r="D110" s="74"/>
      <c r="E110" s="74"/>
      <c r="F110" s="74"/>
      <c r="G110" s="74"/>
    </row>
    <row r="111">
      <c r="A111" s="98"/>
      <c r="B111" s="99"/>
      <c r="C111" s="74"/>
      <c r="D111" s="74"/>
      <c r="E111" s="74"/>
      <c r="F111" s="74"/>
      <c r="G111" s="74"/>
    </row>
    <row r="112">
      <c r="A112" s="98"/>
      <c r="B112" s="99"/>
      <c r="C112" s="74"/>
      <c r="D112" s="74"/>
      <c r="E112" s="74"/>
      <c r="F112" s="74"/>
      <c r="G112" s="74"/>
    </row>
    <row r="113">
      <c r="A113" s="98"/>
      <c r="B113" s="99"/>
      <c r="C113" s="74"/>
      <c r="D113" s="74"/>
      <c r="E113" s="74"/>
      <c r="F113" s="74"/>
      <c r="G113" s="74"/>
    </row>
    <row r="114">
      <c r="A114" s="98"/>
      <c r="B114" s="99"/>
      <c r="C114" s="74"/>
      <c r="D114" s="74"/>
      <c r="E114" s="74"/>
      <c r="F114" s="74"/>
      <c r="G114" s="74"/>
    </row>
    <row r="115">
      <c r="A115" s="98"/>
      <c r="B115" s="99"/>
      <c r="C115" s="74"/>
      <c r="D115" s="74"/>
      <c r="E115" s="74"/>
      <c r="F115" s="74"/>
      <c r="G115" s="74"/>
    </row>
    <row r="116">
      <c r="A116" s="98"/>
      <c r="B116" s="99"/>
      <c r="C116" s="74"/>
      <c r="D116" s="74"/>
      <c r="E116" s="74"/>
      <c r="F116" s="74"/>
      <c r="G116" s="74"/>
    </row>
    <row r="117">
      <c r="A117" s="98"/>
      <c r="B117" s="99"/>
      <c r="C117" s="74"/>
      <c r="D117" s="74"/>
      <c r="E117" s="74"/>
      <c r="F117" s="74"/>
      <c r="G117" s="74"/>
    </row>
    <row r="118">
      <c r="A118" s="98"/>
      <c r="B118" s="99"/>
      <c r="C118" s="74"/>
      <c r="D118" s="74"/>
      <c r="E118" s="74"/>
      <c r="F118" s="74"/>
      <c r="G118" s="74"/>
    </row>
    <row r="119">
      <c r="A119" s="98"/>
      <c r="B119" s="99"/>
      <c r="C119" s="74"/>
      <c r="D119" s="74"/>
      <c r="E119" s="74"/>
      <c r="F119" s="74"/>
      <c r="G119" s="74"/>
    </row>
    <row r="120">
      <c r="A120" s="98"/>
      <c r="B120" s="99"/>
      <c r="C120" s="74"/>
      <c r="D120" s="74"/>
      <c r="E120" s="74"/>
      <c r="F120" s="74"/>
      <c r="G120" s="74"/>
    </row>
    <row r="121">
      <c r="A121" s="98"/>
      <c r="B121" s="99"/>
      <c r="C121" s="74"/>
      <c r="D121" s="74"/>
      <c r="E121" s="74"/>
      <c r="F121" s="74"/>
      <c r="G121" s="74"/>
    </row>
    <row r="122">
      <c r="A122" s="98"/>
      <c r="B122" s="99"/>
      <c r="C122" s="74"/>
      <c r="D122" s="74"/>
      <c r="E122" s="74"/>
      <c r="F122" s="74"/>
      <c r="G122" s="74"/>
    </row>
    <row r="123">
      <c r="A123" s="98"/>
      <c r="B123" s="99"/>
      <c r="C123" s="74"/>
      <c r="D123" s="74"/>
      <c r="E123" s="74"/>
      <c r="F123" s="74"/>
      <c r="G123" s="74"/>
    </row>
    <row r="124">
      <c r="A124" s="98"/>
      <c r="B124" s="99"/>
      <c r="C124" s="74"/>
      <c r="D124" s="74"/>
      <c r="E124" s="74"/>
      <c r="F124" s="74"/>
      <c r="G124" s="74"/>
    </row>
    <row r="125">
      <c r="A125" s="98"/>
      <c r="B125" s="99"/>
      <c r="C125" s="74"/>
      <c r="D125" s="74"/>
      <c r="E125" s="74"/>
      <c r="F125" s="74"/>
      <c r="G125" s="74"/>
    </row>
    <row r="126">
      <c r="A126" s="98"/>
      <c r="B126" s="99"/>
      <c r="C126" s="74"/>
      <c r="D126" s="74"/>
      <c r="E126" s="74"/>
      <c r="F126" s="74"/>
      <c r="G126" s="74"/>
    </row>
    <row r="127">
      <c r="A127" s="98"/>
      <c r="B127" s="99"/>
      <c r="C127" s="74"/>
      <c r="D127" s="74"/>
      <c r="E127" s="74"/>
      <c r="F127" s="74"/>
      <c r="G127" s="74"/>
    </row>
    <row r="128">
      <c r="A128" s="98"/>
      <c r="B128" s="99"/>
      <c r="C128" s="74"/>
      <c r="D128" s="74"/>
      <c r="E128" s="74"/>
      <c r="F128" s="74"/>
      <c r="G128" s="74"/>
    </row>
    <row r="129">
      <c r="A129" s="98"/>
      <c r="B129" s="99"/>
      <c r="C129" s="74"/>
      <c r="D129" s="74"/>
      <c r="E129" s="74"/>
      <c r="F129" s="74"/>
      <c r="G129" s="74"/>
    </row>
    <row r="130">
      <c r="A130" s="98"/>
      <c r="B130" s="99"/>
      <c r="C130" s="74"/>
      <c r="D130" s="74"/>
      <c r="E130" s="74"/>
      <c r="F130" s="74"/>
      <c r="G130" s="74"/>
    </row>
    <row r="131">
      <c r="A131" s="98"/>
      <c r="B131" s="99"/>
      <c r="C131" s="74"/>
      <c r="D131" s="74"/>
      <c r="E131" s="74"/>
      <c r="F131" s="74"/>
      <c r="G131" s="74"/>
    </row>
    <row r="132">
      <c r="A132" s="98"/>
      <c r="B132" s="99"/>
      <c r="C132" s="74"/>
      <c r="D132" s="74"/>
      <c r="E132" s="74"/>
      <c r="F132" s="74"/>
      <c r="G132" s="74"/>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8.38"/>
    <col customWidth="1" min="3" max="3" width="62.63"/>
    <col customWidth="1" min="4" max="7" width="15.75"/>
  </cols>
  <sheetData>
    <row r="1">
      <c r="A1" s="68" t="s">
        <v>177</v>
      </c>
      <c r="B1" s="69" t="s">
        <v>178</v>
      </c>
      <c r="C1" s="70" t="s">
        <v>179</v>
      </c>
      <c r="D1" s="71" t="s">
        <v>180</v>
      </c>
      <c r="E1" s="71" t="s">
        <v>181</v>
      </c>
      <c r="F1" s="71" t="s">
        <v>182</v>
      </c>
      <c r="G1" s="71" t="s">
        <v>183</v>
      </c>
    </row>
    <row r="2">
      <c r="A2" s="72"/>
      <c r="B2" s="73"/>
      <c r="C2" s="74"/>
      <c r="D2" s="74"/>
      <c r="E2" s="74"/>
      <c r="F2" s="74"/>
      <c r="G2" s="74"/>
    </row>
    <row r="3">
      <c r="A3" s="75" t="s">
        <v>184</v>
      </c>
      <c r="B3" s="76"/>
      <c r="C3" s="77"/>
      <c r="D3" s="77"/>
      <c r="E3" s="77"/>
      <c r="F3" s="77"/>
      <c r="G3" s="77"/>
    </row>
    <row r="4">
      <c r="A4" s="72"/>
      <c r="B4" s="73"/>
      <c r="C4" s="74"/>
      <c r="D4" s="74"/>
      <c r="E4" s="74"/>
      <c r="F4" s="74"/>
      <c r="G4" s="74"/>
    </row>
    <row r="5">
      <c r="A5" s="78" t="s">
        <v>185</v>
      </c>
      <c r="B5" s="79"/>
      <c r="C5" s="80"/>
      <c r="D5" s="81">
        <f>SUM(D9:D16)</f>
        <v>115</v>
      </c>
      <c r="E5" s="81">
        <f>D5</f>
        <v>115</v>
      </c>
      <c r="F5" s="80"/>
      <c r="G5" s="80"/>
    </row>
    <row r="6">
      <c r="A6" s="72"/>
      <c r="B6" s="73"/>
      <c r="C6" s="74"/>
      <c r="D6" s="74"/>
      <c r="E6" s="74"/>
      <c r="F6" s="74"/>
      <c r="G6" s="74"/>
    </row>
    <row r="7">
      <c r="A7" s="82" t="s">
        <v>186</v>
      </c>
      <c r="B7" s="83"/>
      <c r="C7" s="84"/>
      <c r="D7" s="84"/>
      <c r="E7" s="84"/>
      <c r="F7" s="84"/>
      <c r="G7" s="84"/>
    </row>
    <row r="8">
      <c r="A8" s="72"/>
      <c r="B8" s="73"/>
      <c r="C8" s="74"/>
      <c r="D8" s="74"/>
      <c r="E8" s="85" t="s">
        <v>187</v>
      </c>
      <c r="F8" s="74"/>
      <c r="G8" s="85" t="s">
        <v>188</v>
      </c>
    </row>
    <row r="9">
      <c r="A9" s="104">
        <v>7.0</v>
      </c>
      <c r="B9" s="105" t="s">
        <v>166</v>
      </c>
      <c r="D9" s="81">
        <f>SUM(D21:D27)</f>
        <v>17</v>
      </c>
      <c r="E9" s="81">
        <f>$D$5 - D9</f>
        <v>98</v>
      </c>
      <c r="F9" s="81">
        <f>SUM(F21:F27)</f>
        <v>18</v>
      </c>
      <c r="G9" s="81">
        <f>$D$5-F9</f>
        <v>97</v>
      </c>
    </row>
    <row r="10">
      <c r="A10" s="72">
        <f t="shared" ref="A10:A16" si="1">A9+1</f>
        <v>8</v>
      </c>
      <c r="B10" s="105" t="s">
        <v>167</v>
      </c>
      <c r="D10" s="87">
        <f>SUM(D28:D34)</f>
        <v>13</v>
      </c>
      <c r="E10" s="87">
        <f t="shared" ref="E10:E16" si="2">E9-D10</f>
        <v>85</v>
      </c>
      <c r="F10" s="87">
        <f>SUM(F28:F34)</f>
        <v>13</v>
      </c>
      <c r="G10" s="87">
        <f t="shared" ref="G10:G16" si="3">G9-F10</f>
        <v>84</v>
      </c>
    </row>
    <row r="11">
      <c r="A11" s="86">
        <f t="shared" si="1"/>
        <v>9</v>
      </c>
      <c r="B11" s="106" t="s">
        <v>221</v>
      </c>
      <c r="C11" s="107"/>
      <c r="D11" s="81">
        <f>SUM(D35:D41)</f>
        <v>15</v>
      </c>
      <c r="E11" s="81">
        <f t="shared" si="2"/>
        <v>70</v>
      </c>
      <c r="F11" s="81">
        <f>SUM(F35:F41)</f>
        <v>14</v>
      </c>
      <c r="G11" s="81">
        <f t="shared" si="3"/>
        <v>70</v>
      </c>
    </row>
    <row r="12">
      <c r="A12" s="98">
        <f t="shared" si="1"/>
        <v>10</v>
      </c>
      <c r="B12" s="89" t="s">
        <v>222</v>
      </c>
      <c r="C12" s="90"/>
      <c r="D12" s="87">
        <f>SUM(D42:D49)</f>
        <v>18</v>
      </c>
      <c r="E12" s="87">
        <f t="shared" si="2"/>
        <v>52</v>
      </c>
      <c r="F12" s="87">
        <f>SUM(F42:F49)</f>
        <v>15</v>
      </c>
      <c r="G12" s="87">
        <f t="shared" si="3"/>
        <v>55</v>
      </c>
    </row>
    <row r="13">
      <c r="A13" s="86">
        <f t="shared" si="1"/>
        <v>11</v>
      </c>
      <c r="B13" s="106" t="s">
        <v>223</v>
      </c>
      <c r="C13" s="107"/>
      <c r="D13" s="81">
        <f>SUM(D50:D56)</f>
        <v>13</v>
      </c>
      <c r="E13" s="81">
        <f t="shared" si="2"/>
        <v>39</v>
      </c>
      <c r="F13" s="81">
        <f>SUM(F50:F56)</f>
        <v>12</v>
      </c>
      <c r="G13" s="81">
        <f t="shared" si="3"/>
        <v>43</v>
      </c>
    </row>
    <row r="14">
      <c r="A14" s="98">
        <f t="shared" si="1"/>
        <v>12</v>
      </c>
      <c r="B14" s="108" t="s">
        <v>224</v>
      </c>
      <c r="C14" s="90"/>
      <c r="D14" s="87">
        <f>SUM(D57:D63)</f>
        <v>13</v>
      </c>
      <c r="E14" s="87">
        <f t="shared" si="2"/>
        <v>26</v>
      </c>
      <c r="F14" s="87">
        <f>SUM(F57:F63)</f>
        <v>0</v>
      </c>
      <c r="G14" s="87">
        <f t="shared" si="3"/>
        <v>43</v>
      </c>
    </row>
    <row r="15">
      <c r="A15" s="86">
        <f t="shared" si="1"/>
        <v>13</v>
      </c>
      <c r="B15" s="108" t="s">
        <v>225</v>
      </c>
      <c r="C15" s="97"/>
      <c r="D15" s="81">
        <f>SUM(D64:D70)</f>
        <v>12</v>
      </c>
      <c r="E15" s="81">
        <f t="shared" si="2"/>
        <v>14</v>
      </c>
      <c r="F15" s="81">
        <f>SUM(F64:F70)</f>
        <v>0</v>
      </c>
      <c r="G15" s="81">
        <f t="shared" si="3"/>
        <v>43</v>
      </c>
    </row>
    <row r="16">
      <c r="A16" s="98">
        <f t="shared" si="1"/>
        <v>14</v>
      </c>
      <c r="B16" s="89" t="s">
        <v>226</v>
      </c>
      <c r="C16" s="74"/>
      <c r="D16" s="87">
        <f>SUM(D71:D78)</f>
        <v>14</v>
      </c>
      <c r="E16" s="87">
        <f t="shared" si="2"/>
        <v>0</v>
      </c>
      <c r="F16" s="87">
        <f>SUM(F71:F78)</f>
        <v>0</v>
      </c>
      <c r="G16" s="87">
        <f t="shared" si="3"/>
        <v>43</v>
      </c>
    </row>
    <row r="17">
      <c r="A17" s="86"/>
      <c r="B17" s="91"/>
      <c r="C17" s="80"/>
      <c r="D17" s="80"/>
      <c r="E17" s="80"/>
      <c r="F17" s="80"/>
      <c r="G17" s="80"/>
    </row>
    <row r="18">
      <c r="A18" s="92" t="s">
        <v>189</v>
      </c>
      <c r="B18" s="93"/>
      <c r="C18" s="94"/>
      <c r="D18" s="94"/>
      <c r="E18" s="94"/>
      <c r="F18" s="94"/>
      <c r="G18" s="94"/>
    </row>
    <row r="19">
      <c r="A19" s="86"/>
      <c r="B19" s="78"/>
      <c r="C19" s="80"/>
      <c r="D19" s="80"/>
      <c r="E19" s="80"/>
      <c r="F19" s="80"/>
      <c r="G19" s="80"/>
    </row>
    <row r="20">
      <c r="A20" s="88">
        <v>7.0</v>
      </c>
      <c r="B20" s="109" t="str">
        <f>B9</f>
        <v>Advance the pipeline</v>
      </c>
      <c r="C20" s="74"/>
      <c r="D20" s="87"/>
      <c r="E20" s="74"/>
      <c r="F20" s="74"/>
      <c r="G20" s="74"/>
    </row>
    <row r="21">
      <c r="A21" s="86"/>
      <c r="B21" s="91"/>
      <c r="C21" s="108" t="s">
        <v>218</v>
      </c>
      <c r="D21" s="101">
        <v>1.0</v>
      </c>
      <c r="E21" s="108"/>
      <c r="F21" s="108">
        <v>1.0</v>
      </c>
      <c r="G21" s="91"/>
    </row>
    <row r="22">
      <c r="A22" s="98"/>
      <c r="B22" s="99"/>
      <c r="C22" s="90" t="s">
        <v>227</v>
      </c>
      <c r="D22" s="100">
        <v>3.0</v>
      </c>
      <c r="E22" s="90"/>
      <c r="F22" s="90">
        <v>3.0</v>
      </c>
      <c r="G22" s="74"/>
    </row>
    <row r="23">
      <c r="A23" s="86"/>
      <c r="B23" s="91"/>
      <c r="C23" s="97" t="s">
        <v>228</v>
      </c>
      <c r="D23" s="101">
        <v>3.0</v>
      </c>
      <c r="E23" s="108"/>
      <c r="F23" s="108">
        <v>3.0</v>
      </c>
      <c r="G23" s="91"/>
    </row>
    <row r="24">
      <c r="A24" s="98"/>
      <c r="B24" s="99"/>
      <c r="C24" s="89" t="s">
        <v>229</v>
      </c>
      <c r="D24" s="100">
        <v>3.0</v>
      </c>
      <c r="E24" s="90"/>
      <c r="F24" s="90">
        <v>3.0</v>
      </c>
      <c r="G24" s="74"/>
    </row>
    <row r="25">
      <c r="A25" s="86"/>
      <c r="B25" s="91"/>
      <c r="C25" s="97" t="s">
        <v>230</v>
      </c>
      <c r="D25" s="101">
        <v>5.0</v>
      </c>
      <c r="E25" s="108"/>
      <c r="F25" s="108">
        <v>5.0</v>
      </c>
      <c r="G25" s="91"/>
    </row>
    <row r="26">
      <c r="A26" s="98"/>
      <c r="B26" s="99"/>
      <c r="C26" s="89" t="s">
        <v>231</v>
      </c>
      <c r="D26" s="100">
        <v>2.0</v>
      </c>
      <c r="E26" s="90"/>
      <c r="F26" s="90">
        <v>3.0</v>
      </c>
      <c r="G26" s="74"/>
    </row>
    <row r="27">
      <c r="A27" s="86"/>
      <c r="B27" s="91"/>
      <c r="C27" s="97"/>
      <c r="D27" s="101"/>
      <c r="E27" s="80"/>
      <c r="F27" s="101"/>
      <c r="G27" s="80"/>
    </row>
    <row r="28">
      <c r="A28" s="88">
        <f>A10</f>
        <v>8</v>
      </c>
      <c r="B28" s="110" t="s">
        <v>167</v>
      </c>
      <c r="C28" s="90"/>
      <c r="D28" s="100"/>
      <c r="E28" s="74"/>
      <c r="F28" s="100"/>
      <c r="G28" s="74"/>
    </row>
    <row r="29">
      <c r="A29" s="86"/>
      <c r="B29" s="91"/>
      <c r="C29" s="97" t="s">
        <v>232</v>
      </c>
      <c r="D29" s="101">
        <v>3.0</v>
      </c>
      <c r="E29" s="80"/>
      <c r="F29" s="97">
        <v>3.0</v>
      </c>
      <c r="G29" s="80"/>
    </row>
    <row r="30">
      <c r="A30" s="95"/>
      <c r="B30" s="96"/>
      <c r="C30" s="90" t="s">
        <v>233</v>
      </c>
      <c r="D30" s="90">
        <v>2.0</v>
      </c>
      <c r="E30" s="74"/>
      <c r="F30" s="90">
        <v>2.0</v>
      </c>
      <c r="G30" s="74"/>
    </row>
    <row r="31">
      <c r="A31" s="86"/>
      <c r="B31" s="91"/>
      <c r="C31" s="97" t="s">
        <v>234</v>
      </c>
      <c r="D31" s="97">
        <v>2.0</v>
      </c>
      <c r="E31" s="80"/>
      <c r="F31" s="97">
        <v>2.0</v>
      </c>
      <c r="G31" s="80"/>
    </row>
    <row r="32">
      <c r="A32" s="98"/>
      <c r="B32" s="99"/>
      <c r="C32" s="89" t="s">
        <v>235</v>
      </c>
      <c r="D32" s="100">
        <v>3.0</v>
      </c>
      <c r="E32" s="99"/>
      <c r="F32" s="89">
        <v>3.0</v>
      </c>
      <c r="G32" s="99"/>
    </row>
    <row r="33">
      <c r="A33" s="86"/>
      <c r="B33" s="91"/>
      <c r="C33" s="97" t="s">
        <v>236</v>
      </c>
      <c r="D33" s="101">
        <v>3.0</v>
      </c>
      <c r="E33" s="80"/>
      <c r="F33" s="97">
        <v>3.0</v>
      </c>
      <c r="G33" s="80"/>
    </row>
    <row r="34">
      <c r="A34" s="98"/>
      <c r="B34" s="99"/>
      <c r="C34" s="89"/>
      <c r="D34" s="100"/>
      <c r="E34" s="99"/>
      <c r="F34" s="89"/>
      <c r="G34" s="99"/>
    </row>
    <row r="35">
      <c r="A35" s="104">
        <v>9.0</v>
      </c>
      <c r="B35" s="111" t="s">
        <v>221</v>
      </c>
      <c r="C35" s="97"/>
      <c r="D35" s="101"/>
      <c r="E35" s="80"/>
      <c r="F35" s="101"/>
      <c r="G35" s="80"/>
    </row>
    <row r="36">
      <c r="A36" s="98"/>
      <c r="B36" s="96"/>
      <c r="C36" s="90" t="s">
        <v>237</v>
      </c>
      <c r="D36" s="100">
        <v>3.0</v>
      </c>
      <c r="E36" s="99"/>
      <c r="F36" s="89">
        <v>3.0</v>
      </c>
      <c r="G36" s="99"/>
    </row>
    <row r="37">
      <c r="A37" s="86"/>
      <c r="B37" s="91"/>
      <c r="C37" s="97" t="s">
        <v>238</v>
      </c>
      <c r="D37" s="101">
        <v>3.0</v>
      </c>
      <c r="E37" s="80"/>
      <c r="F37" s="102">
        <v>3.0</v>
      </c>
      <c r="G37" s="80"/>
    </row>
    <row r="38">
      <c r="A38" s="98"/>
      <c r="B38" s="99"/>
      <c r="C38" s="89" t="s">
        <v>239</v>
      </c>
      <c r="D38" s="100">
        <v>3.0</v>
      </c>
      <c r="E38" s="99"/>
      <c r="F38" s="89">
        <v>3.0</v>
      </c>
      <c r="G38" s="99"/>
    </row>
    <row r="39">
      <c r="A39" s="86"/>
      <c r="B39" s="91"/>
      <c r="C39" s="97" t="s">
        <v>240</v>
      </c>
      <c r="D39" s="101">
        <v>3.0</v>
      </c>
      <c r="E39" s="80"/>
      <c r="F39" s="97">
        <v>2.0</v>
      </c>
      <c r="G39" s="80"/>
    </row>
    <row r="40">
      <c r="A40" s="98"/>
      <c r="B40" s="99"/>
      <c r="C40" s="90" t="s">
        <v>241</v>
      </c>
      <c r="D40" s="100">
        <v>3.0</v>
      </c>
      <c r="E40" s="99"/>
      <c r="F40" s="89">
        <v>3.0</v>
      </c>
      <c r="G40" s="99"/>
    </row>
    <row r="41">
      <c r="A41" s="86"/>
      <c r="B41" s="91"/>
      <c r="C41" s="97"/>
      <c r="D41" s="101"/>
      <c r="E41" s="80"/>
      <c r="F41" s="102"/>
      <c r="G41" s="80"/>
    </row>
    <row r="42">
      <c r="A42" s="88">
        <v>10.0</v>
      </c>
      <c r="B42" s="109" t="s">
        <v>222</v>
      </c>
      <c r="C42" s="89"/>
      <c r="D42" s="100"/>
      <c r="E42" s="99"/>
      <c r="F42" s="89"/>
      <c r="G42" s="99"/>
    </row>
    <row r="43">
      <c r="A43" s="86"/>
      <c r="B43" s="91"/>
      <c r="C43" s="97" t="s">
        <v>242</v>
      </c>
      <c r="D43" s="101">
        <v>3.0</v>
      </c>
      <c r="E43" s="80"/>
      <c r="F43" s="97">
        <v>2.0</v>
      </c>
      <c r="G43" s="80"/>
    </row>
    <row r="44">
      <c r="A44" s="98"/>
      <c r="B44" s="96"/>
      <c r="C44" s="89" t="s">
        <v>243</v>
      </c>
      <c r="D44" s="100">
        <v>3.0</v>
      </c>
      <c r="E44" s="99"/>
      <c r="F44" s="89">
        <v>2.0</v>
      </c>
      <c r="G44" s="99"/>
    </row>
    <row r="45">
      <c r="A45" s="86"/>
      <c r="B45" s="91"/>
      <c r="C45" s="97" t="s">
        <v>244</v>
      </c>
      <c r="D45" s="101">
        <v>2.0</v>
      </c>
      <c r="E45" s="80"/>
      <c r="F45" s="97">
        <v>1.0</v>
      </c>
      <c r="G45" s="80"/>
    </row>
    <row r="46">
      <c r="A46" s="98"/>
      <c r="B46" s="99"/>
      <c r="C46" s="89" t="s">
        <v>245</v>
      </c>
      <c r="D46" s="100">
        <v>8.0</v>
      </c>
      <c r="E46" s="99"/>
      <c r="F46" s="89">
        <v>8.0</v>
      </c>
      <c r="G46" s="99"/>
    </row>
    <row r="47">
      <c r="A47" s="86"/>
      <c r="B47" s="91"/>
      <c r="C47" s="97" t="s">
        <v>246</v>
      </c>
      <c r="D47" s="101">
        <v>2.0</v>
      </c>
      <c r="E47" s="80"/>
      <c r="F47" s="97">
        <v>2.0</v>
      </c>
      <c r="G47" s="80"/>
    </row>
    <row r="48">
      <c r="A48" s="98"/>
      <c r="B48" s="99"/>
      <c r="C48" s="89"/>
      <c r="D48" s="100"/>
      <c r="E48" s="99"/>
      <c r="F48" s="89"/>
      <c r="G48" s="99"/>
    </row>
    <row r="49">
      <c r="A49" s="86"/>
      <c r="B49" s="91"/>
      <c r="C49" s="97"/>
      <c r="D49" s="101"/>
      <c r="E49" s="80"/>
      <c r="F49" s="97"/>
      <c r="G49" s="80"/>
    </row>
    <row r="50">
      <c r="A50" s="88">
        <v>11.0</v>
      </c>
      <c r="B50" s="112" t="s">
        <v>223</v>
      </c>
      <c r="C50" s="89"/>
      <c r="D50" s="100"/>
      <c r="E50" s="99"/>
      <c r="F50" s="89"/>
      <c r="G50" s="99"/>
    </row>
    <row r="51">
      <c r="A51" s="86"/>
      <c r="B51" s="91"/>
      <c r="C51" s="97" t="s">
        <v>247</v>
      </c>
      <c r="D51" s="101">
        <v>3.0</v>
      </c>
      <c r="E51" s="80"/>
      <c r="F51" s="97">
        <v>3.0</v>
      </c>
      <c r="G51" s="80"/>
    </row>
    <row r="52">
      <c r="A52" s="88"/>
      <c r="B52" s="96"/>
      <c r="C52" s="113" t="s">
        <v>248</v>
      </c>
      <c r="D52" s="100">
        <v>2.0</v>
      </c>
      <c r="E52" s="99"/>
      <c r="F52" s="89">
        <v>2.0</v>
      </c>
      <c r="G52" s="99"/>
    </row>
    <row r="53">
      <c r="A53" s="86"/>
      <c r="B53" s="91"/>
      <c r="C53" s="97" t="s">
        <v>249</v>
      </c>
      <c r="D53" s="101">
        <v>2.0</v>
      </c>
      <c r="E53" s="80"/>
      <c r="F53" s="97">
        <v>2.0</v>
      </c>
      <c r="G53" s="80"/>
    </row>
    <row r="54">
      <c r="A54" s="98"/>
      <c r="B54" s="99"/>
      <c r="C54" s="90" t="s">
        <v>250</v>
      </c>
      <c r="D54" s="100">
        <v>3.0</v>
      </c>
      <c r="E54" s="99"/>
      <c r="F54" s="89">
        <v>3.0</v>
      </c>
      <c r="G54" s="99"/>
    </row>
    <row r="55">
      <c r="A55" s="86"/>
      <c r="B55" s="91"/>
      <c r="C55" s="97" t="s">
        <v>251</v>
      </c>
      <c r="D55" s="101">
        <v>3.0</v>
      </c>
      <c r="E55" s="80"/>
      <c r="F55" s="97">
        <v>2.0</v>
      </c>
      <c r="G55" s="80"/>
    </row>
    <row r="56">
      <c r="A56" s="98"/>
      <c r="B56" s="99"/>
      <c r="C56" s="89"/>
      <c r="D56" s="100"/>
      <c r="E56" s="99"/>
      <c r="F56" s="89"/>
      <c r="G56" s="99"/>
    </row>
    <row r="57">
      <c r="A57" s="104">
        <v>12.0</v>
      </c>
      <c r="B57" s="114" t="s">
        <v>224</v>
      </c>
      <c r="C57" s="97"/>
      <c r="D57" s="101"/>
      <c r="E57" s="80"/>
      <c r="F57" s="97"/>
      <c r="G57" s="80"/>
    </row>
    <row r="58">
      <c r="A58" s="98"/>
      <c r="B58" s="99"/>
      <c r="C58" s="89" t="s">
        <v>252</v>
      </c>
      <c r="D58" s="100">
        <v>2.0</v>
      </c>
      <c r="E58" s="99"/>
      <c r="F58" s="100"/>
      <c r="G58" s="99"/>
    </row>
    <row r="59">
      <c r="A59" s="86"/>
      <c r="B59" s="91"/>
      <c r="C59" s="97" t="s">
        <v>253</v>
      </c>
      <c r="D59" s="101">
        <v>3.0</v>
      </c>
      <c r="E59" s="80"/>
      <c r="F59" s="97"/>
      <c r="G59" s="80"/>
    </row>
    <row r="60">
      <c r="A60" s="98"/>
      <c r="B60" s="99"/>
      <c r="C60" s="89" t="s">
        <v>254</v>
      </c>
      <c r="D60" s="100">
        <v>3.0</v>
      </c>
      <c r="E60" s="99"/>
      <c r="F60" s="99"/>
      <c r="G60" s="99"/>
    </row>
    <row r="61">
      <c r="A61" s="104"/>
      <c r="B61" s="114"/>
      <c r="C61" s="97" t="s">
        <v>255</v>
      </c>
      <c r="D61" s="101">
        <v>5.0</v>
      </c>
      <c r="E61" s="80"/>
      <c r="F61" s="80"/>
      <c r="G61" s="80"/>
    </row>
    <row r="62">
      <c r="A62" s="98"/>
      <c r="B62" s="99"/>
      <c r="C62" s="89"/>
      <c r="D62" s="100"/>
      <c r="E62" s="99"/>
      <c r="F62" s="99"/>
      <c r="G62" s="99"/>
    </row>
    <row r="63">
      <c r="A63" s="86"/>
      <c r="B63" s="91"/>
      <c r="C63" s="97"/>
      <c r="D63" s="101"/>
      <c r="E63" s="80"/>
      <c r="F63" s="80"/>
      <c r="G63" s="80"/>
    </row>
    <row r="64">
      <c r="A64" s="88">
        <v>13.0</v>
      </c>
      <c r="B64" s="109" t="s">
        <v>225</v>
      </c>
      <c r="C64" s="90"/>
      <c r="D64" s="100"/>
      <c r="E64" s="99"/>
      <c r="F64" s="99"/>
      <c r="G64" s="99"/>
    </row>
    <row r="65">
      <c r="A65" s="86"/>
      <c r="C65" s="108" t="s">
        <v>256</v>
      </c>
      <c r="D65" s="101">
        <v>3.0</v>
      </c>
      <c r="E65" s="80"/>
      <c r="F65" s="80"/>
      <c r="G65" s="80"/>
    </row>
    <row r="66">
      <c r="A66" s="98"/>
      <c r="C66" s="89" t="s">
        <v>257</v>
      </c>
      <c r="D66" s="100">
        <v>3.0</v>
      </c>
      <c r="E66" s="99"/>
      <c r="F66" s="99"/>
      <c r="G66" s="99"/>
    </row>
    <row r="67">
      <c r="A67" s="86"/>
      <c r="C67" s="108" t="s">
        <v>258</v>
      </c>
      <c r="D67" s="101">
        <v>3.0</v>
      </c>
      <c r="E67" s="80"/>
      <c r="F67" s="80"/>
      <c r="G67" s="80"/>
    </row>
    <row r="68">
      <c r="A68" s="98"/>
      <c r="C68" s="89" t="s">
        <v>259</v>
      </c>
      <c r="D68" s="100">
        <v>3.0</v>
      </c>
      <c r="E68" s="99"/>
      <c r="F68" s="99"/>
      <c r="G68" s="99"/>
    </row>
    <row r="69">
      <c r="A69" s="86"/>
      <c r="B69" s="91"/>
      <c r="C69" s="97"/>
      <c r="D69" s="81"/>
      <c r="E69" s="80"/>
      <c r="F69" s="80"/>
      <c r="G69" s="80"/>
    </row>
    <row r="70">
      <c r="A70" s="98"/>
      <c r="B70" s="99"/>
      <c r="C70" s="99"/>
      <c r="D70" s="87"/>
      <c r="E70" s="99"/>
      <c r="F70" s="99"/>
      <c r="G70" s="99"/>
    </row>
    <row r="71">
      <c r="A71" s="104">
        <v>14.0</v>
      </c>
      <c r="B71" s="114" t="s">
        <v>226</v>
      </c>
      <c r="C71" s="80"/>
      <c r="D71" s="81"/>
      <c r="E71" s="80"/>
      <c r="F71" s="80"/>
      <c r="G71" s="80"/>
    </row>
    <row r="72">
      <c r="A72" s="98"/>
      <c r="B72" s="99"/>
      <c r="C72" s="89" t="s">
        <v>260</v>
      </c>
      <c r="D72" s="100">
        <v>3.0</v>
      </c>
      <c r="E72" s="99"/>
      <c r="F72" s="99"/>
      <c r="G72" s="99"/>
    </row>
    <row r="73">
      <c r="A73" s="86"/>
      <c r="B73" s="91"/>
      <c r="C73" s="97" t="s">
        <v>261</v>
      </c>
      <c r="D73" s="101">
        <v>5.0</v>
      </c>
      <c r="E73" s="80"/>
      <c r="F73" s="80"/>
      <c r="G73" s="80"/>
    </row>
    <row r="74">
      <c r="A74" s="98"/>
      <c r="B74" s="99"/>
      <c r="C74" s="89" t="s">
        <v>262</v>
      </c>
      <c r="D74" s="100">
        <v>3.0</v>
      </c>
      <c r="E74" s="99"/>
      <c r="F74" s="99"/>
      <c r="G74" s="99"/>
    </row>
    <row r="75">
      <c r="A75" s="86"/>
      <c r="B75" s="91"/>
      <c r="C75" s="97" t="s">
        <v>263</v>
      </c>
      <c r="D75" s="101">
        <v>3.0</v>
      </c>
      <c r="E75" s="80"/>
      <c r="F75" s="80"/>
      <c r="G75" s="80"/>
    </row>
    <row r="76">
      <c r="A76" s="98"/>
      <c r="B76" s="99"/>
      <c r="C76" s="89"/>
      <c r="D76" s="100"/>
      <c r="E76" s="99"/>
      <c r="F76" s="99"/>
      <c r="G76" s="99"/>
    </row>
    <row r="77">
      <c r="A77" s="86"/>
      <c r="B77" s="91"/>
      <c r="C77" s="80"/>
      <c r="D77" s="81"/>
      <c r="E77" s="80"/>
      <c r="F77" s="80"/>
      <c r="G77" s="80"/>
    </row>
    <row r="78">
      <c r="A78" s="98"/>
      <c r="B78" s="99"/>
      <c r="C78" s="99"/>
      <c r="D78" s="87"/>
      <c r="E78" s="99"/>
      <c r="F78" s="99"/>
      <c r="G78" s="99"/>
    </row>
    <row r="79">
      <c r="A79" s="86"/>
      <c r="B79" s="91"/>
      <c r="C79" s="80"/>
      <c r="D79" s="81"/>
      <c r="E79" s="80"/>
      <c r="F79" s="80"/>
      <c r="G79" s="80"/>
    </row>
    <row r="80">
      <c r="A80" s="98"/>
      <c r="B80" s="99"/>
      <c r="C80" s="99"/>
      <c r="D80" s="87"/>
      <c r="E80" s="99"/>
      <c r="F80" s="99"/>
      <c r="G80" s="99"/>
    </row>
    <row r="81">
      <c r="A81" s="98"/>
      <c r="B81" s="99"/>
      <c r="C81" s="99"/>
      <c r="D81" s="87"/>
      <c r="E81" s="99"/>
      <c r="F81" s="99"/>
      <c r="G81" s="99"/>
    </row>
    <row r="82">
      <c r="A82" s="98"/>
      <c r="B82" s="99"/>
      <c r="C82" s="74"/>
      <c r="D82" s="74"/>
      <c r="E82" s="74"/>
      <c r="F82" s="74"/>
      <c r="G82" s="74"/>
    </row>
    <row r="83">
      <c r="A83" s="98"/>
      <c r="B83" s="99"/>
      <c r="C83" s="103" t="s">
        <v>220</v>
      </c>
      <c r="D83" s="74"/>
      <c r="E83" s="74"/>
      <c r="F83" s="74"/>
      <c r="G83" s="74"/>
    </row>
    <row r="84">
      <c r="A84" s="98"/>
      <c r="B84" s="99"/>
      <c r="C84" s="74"/>
      <c r="D84" s="74"/>
      <c r="E84" s="74"/>
      <c r="F84" s="74"/>
      <c r="G84" s="74"/>
    </row>
    <row r="85">
      <c r="A85" s="98"/>
      <c r="B85" s="99"/>
      <c r="C85" s="74"/>
      <c r="D85" s="74"/>
      <c r="E85" s="74"/>
      <c r="F85" s="74"/>
      <c r="G85" s="74"/>
    </row>
    <row r="86">
      <c r="A86" s="98"/>
      <c r="B86" s="99"/>
      <c r="C86" s="74"/>
      <c r="D86" s="74"/>
      <c r="E86" s="74"/>
      <c r="F86" s="74"/>
      <c r="G86" s="74"/>
    </row>
    <row r="87">
      <c r="A87" s="98"/>
      <c r="B87" s="99"/>
      <c r="C87" s="74"/>
      <c r="D87" s="74"/>
      <c r="E87" s="74"/>
      <c r="F87" s="74"/>
      <c r="G87" s="74"/>
    </row>
    <row r="88">
      <c r="A88" s="98"/>
      <c r="B88" s="99"/>
      <c r="C88" s="74"/>
      <c r="D88" s="74"/>
      <c r="E88" s="74"/>
      <c r="F88" s="74"/>
      <c r="G88" s="74"/>
    </row>
    <row r="89">
      <c r="A89" s="98"/>
      <c r="B89" s="99"/>
      <c r="C89" s="74"/>
      <c r="D89" s="74"/>
      <c r="E89" s="74"/>
      <c r="F89" s="74"/>
      <c r="G89" s="74"/>
    </row>
    <row r="90">
      <c r="A90" s="98"/>
      <c r="B90" s="99"/>
      <c r="C90" s="74"/>
      <c r="D90" s="74"/>
      <c r="E90" s="74"/>
      <c r="F90" s="74"/>
      <c r="G90" s="74"/>
    </row>
    <row r="91">
      <c r="A91" s="98"/>
      <c r="B91" s="99"/>
      <c r="C91" s="74"/>
      <c r="D91" s="74"/>
      <c r="E91" s="74"/>
      <c r="F91" s="74"/>
      <c r="G91" s="74"/>
    </row>
    <row r="92">
      <c r="A92" s="98"/>
      <c r="B92" s="99"/>
      <c r="C92" s="74"/>
      <c r="D92" s="74"/>
      <c r="E92" s="74"/>
      <c r="F92" s="74"/>
      <c r="G92" s="74"/>
    </row>
    <row r="93">
      <c r="A93" s="98"/>
      <c r="B93" s="99"/>
      <c r="C93" s="74"/>
      <c r="D93" s="74"/>
      <c r="E93" s="74"/>
      <c r="F93" s="74"/>
      <c r="G93" s="74"/>
    </row>
    <row r="94">
      <c r="A94" s="98"/>
      <c r="B94" s="99"/>
      <c r="C94" s="74"/>
      <c r="D94" s="74"/>
      <c r="E94" s="74"/>
      <c r="F94" s="74"/>
      <c r="G94" s="74"/>
    </row>
    <row r="95">
      <c r="A95" s="98"/>
      <c r="B95" s="99"/>
      <c r="C95" s="74"/>
      <c r="D95" s="74"/>
      <c r="E95" s="74"/>
      <c r="F95" s="74"/>
      <c r="G95" s="74"/>
    </row>
    <row r="96">
      <c r="A96" s="98"/>
      <c r="B96" s="99"/>
      <c r="C96" s="74"/>
      <c r="D96" s="74"/>
      <c r="E96" s="74"/>
      <c r="F96" s="74"/>
      <c r="G96" s="74"/>
    </row>
    <row r="97">
      <c r="A97" s="98"/>
      <c r="B97" s="99"/>
      <c r="C97" s="74"/>
      <c r="D97" s="74"/>
      <c r="E97" s="74"/>
      <c r="F97" s="74"/>
      <c r="G97" s="74"/>
    </row>
    <row r="98">
      <c r="A98" s="98"/>
      <c r="B98" s="99"/>
      <c r="C98" s="74"/>
      <c r="D98" s="74"/>
      <c r="E98" s="74"/>
      <c r="F98" s="74"/>
      <c r="G98" s="74"/>
    </row>
    <row r="99">
      <c r="A99" s="98"/>
      <c r="B99" s="99"/>
      <c r="C99" s="74"/>
      <c r="D99" s="74"/>
      <c r="E99" s="74"/>
      <c r="F99" s="74"/>
      <c r="G99" s="74"/>
    </row>
    <row r="100">
      <c r="A100" s="98"/>
      <c r="B100" s="99"/>
      <c r="C100" s="74"/>
      <c r="D100" s="74"/>
      <c r="E100" s="74"/>
      <c r="F100" s="74"/>
      <c r="G100" s="74"/>
    </row>
    <row r="101">
      <c r="A101" s="98"/>
      <c r="B101" s="99"/>
      <c r="C101" s="74"/>
      <c r="D101" s="74"/>
      <c r="E101" s="74"/>
      <c r="F101" s="74"/>
      <c r="G101" s="74"/>
    </row>
    <row r="102">
      <c r="A102" s="98"/>
      <c r="B102" s="99"/>
      <c r="C102" s="74"/>
      <c r="D102" s="74"/>
      <c r="E102" s="74"/>
      <c r="F102" s="74"/>
      <c r="G102" s="74"/>
    </row>
    <row r="103">
      <c r="A103" s="98"/>
      <c r="B103" s="99"/>
      <c r="C103" s="74"/>
      <c r="D103" s="74"/>
      <c r="E103" s="74"/>
      <c r="F103" s="74"/>
      <c r="G103" s="74"/>
    </row>
    <row r="104">
      <c r="A104" s="98"/>
      <c r="B104" s="99"/>
      <c r="C104" s="74"/>
      <c r="D104" s="74"/>
      <c r="E104" s="74"/>
      <c r="F104" s="74"/>
      <c r="G104" s="74"/>
    </row>
    <row r="105">
      <c r="A105" s="98"/>
      <c r="B105" s="99"/>
      <c r="C105" s="74"/>
      <c r="D105" s="74"/>
      <c r="E105" s="74"/>
      <c r="F105" s="74"/>
      <c r="G105" s="74"/>
    </row>
    <row r="106">
      <c r="A106" s="98"/>
      <c r="B106" s="99"/>
      <c r="C106" s="74"/>
      <c r="D106" s="74"/>
      <c r="E106" s="74"/>
      <c r="F106" s="74"/>
      <c r="G106" s="74"/>
    </row>
    <row r="107">
      <c r="A107" s="98"/>
      <c r="B107" s="99"/>
      <c r="C107" s="74"/>
      <c r="D107" s="74"/>
      <c r="E107" s="74"/>
      <c r="F107" s="74"/>
      <c r="G107" s="74"/>
    </row>
    <row r="108">
      <c r="A108" s="98"/>
      <c r="B108" s="99"/>
      <c r="C108" s="74"/>
      <c r="D108" s="74"/>
      <c r="E108" s="74"/>
      <c r="F108" s="74"/>
      <c r="G108" s="74"/>
    </row>
    <row r="109">
      <c r="A109" s="98"/>
      <c r="B109" s="99"/>
      <c r="C109" s="74"/>
      <c r="D109" s="74"/>
      <c r="E109" s="74"/>
      <c r="F109" s="74"/>
      <c r="G109" s="74"/>
    </row>
    <row r="110">
      <c r="A110" s="98"/>
      <c r="B110" s="99"/>
      <c r="C110" s="74"/>
      <c r="D110" s="74"/>
      <c r="E110" s="74"/>
      <c r="F110" s="74"/>
      <c r="G110" s="74"/>
    </row>
    <row r="111">
      <c r="A111" s="98"/>
      <c r="B111" s="99"/>
      <c r="C111" s="74"/>
      <c r="D111" s="74"/>
      <c r="E111" s="74"/>
      <c r="F111" s="74"/>
      <c r="G111" s="74"/>
    </row>
    <row r="112">
      <c r="A112" s="98"/>
      <c r="B112" s="99"/>
      <c r="C112" s="74"/>
      <c r="D112" s="74"/>
      <c r="E112" s="74"/>
      <c r="F112" s="74"/>
      <c r="G112" s="74"/>
    </row>
    <row r="113">
      <c r="A113" s="98"/>
      <c r="B113" s="99"/>
      <c r="C113" s="74"/>
      <c r="D113" s="74"/>
      <c r="E113" s="74"/>
      <c r="F113" s="74"/>
      <c r="G113" s="74"/>
    </row>
    <row r="114">
      <c r="A114" s="98"/>
      <c r="B114" s="99"/>
      <c r="C114" s="74"/>
      <c r="D114" s="74"/>
      <c r="E114" s="74"/>
      <c r="F114" s="74"/>
      <c r="G114" s="74"/>
    </row>
    <row r="115">
      <c r="A115" s="98"/>
      <c r="B115" s="99"/>
      <c r="C115" s="74"/>
      <c r="D115" s="74"/>
      <c r="E115" s="74"/>
      <c r="F115" s="74"/>
      <c r="G115" s="74"/>
    </row>
    <row r="116">
      <c r="A116" s="98"/>
      <c r="B116" s="99"/>
      <c r="C116" s="74"/>
      <c r="D116" s="74"/>
      <c r="E116" s="74"/>
      <c r="F116" s="74"/>
      <c r="G116" s="74"/>
    </row>
    <row r="117">
      <c r="A117" s="98"/>
      <c r="B117" s="99"/>
      <c r="C117" s="74"/>
      <c r="D117" s="74"/>
      <c r="E117" s="74"/>
      <c r="F117" s="74"/>
      <c r="G117" s="74"/>
    </row>
    <row r="118">
      <c r="A118" s="98"/>
      <c r="B118" s="99"/>
      <c r="C118" s="74"/>
      <c r="D118" s="74"/>
      <c r="E118" s="74"/>
      <c r="F118" s="74"/>
      <c r="G118" s="74"/>
    </row>
    <row r="119">
      <c r="A119" s="98"/>
      <c r="B119" s="99"/>
      <c r="C119" s="74"/>
      <c r="D119" s="74"/>
      <c r="E119" s="74"/>
      <c r="F119" s="74"/>
      <c r="G119" s="74"/>
    </row>
    <row r="120">
      <c r="A120" s="98"/>
      <c r="B120" s="99"/>
      <c r="C120" s="74"/>
      <c r="D120" s="74"/>
      <c r="E120" s="74"/>
      <c r="F120" s="74"/>
      <c r="G120" s="74"/>
    </row>
    <row r="121">
      <c r="A121" s="98"/>
      <c r="B121" s="99"/>
      <c r="C121" s="74"/>
      <c r="D121" s="74"/>
      <c r="E121" s="74"/>
      <c r="F121" s="74"/>
      <c r="G121" s="74"/>
    </row>
    <row r="122">
      <c r="A122" s="98"/>
      <c r="B122" s="99"/>
      <c r="C122" s="74"/>
      <c r="D122" s="74"/>
      <c r="E122" s="74"/>
      <c r="F122" s="74"/>
      <c r="G122" s="74"/>
    </row>
    <row r="123">
      <c r="A123" s="98"/>
      <c r="B123" s="99"/>
      <c r="C123" s="74"/>
      <c r="D123" s="74"/>
      <c r="E123" s="74"/>
      <c r="F123" s="74"/>
      <c r="G123" s="74"/>
    </row>
    <row r="124">
      <c r="A124" s="98"/>
      <c r="B124" s="99"/>
      <c r="C124" s="74"/>
      <c r="D124" s="74"/>
      <c r="E124" s="74"/>
      <c r="F124" s="74"/>
      <c r="G124" s="74"/>
    </row>
    <row r="125">
      <c r="A125" s="98"/>
      <c r="B125" s="99"/>
      <c r="C125" s="74"/>
      <c r="D125" s="74"/>
      <c r="E125" s="74"/>
      <c r="F125" s="74"/>
      <c r="G125" s="74"/>
    </row>
    <row r="126">
      <c r="A126" s="98"/>
      <c r="B126" s="99"/>
      <c r="C126" s="74"/>
      <c r="D126" s="74"/>
      <c r="E126" s="74"/>
      <c r="F126" s="74"/>
      <c r="G126" s="74"/>
    </row>
    <row r="127">
      <c r="A127" s="98"/>
      <c r="B127" s="99"/>
      <c r="C127" s="74"/>
      <c r="D127" s="74"/>
      <c r="E127" s="74"/>
      <c r="F127" s="74"/>
      <c r="G127" s="74"/>
    </row>
    <row r="128">
      <c r="A128" s="98"/>
      <c r="B128" s="99"/>
      <c r="C128" s="74"/>
      <c r="D128" s="74"/>
      <c r="E128" s="74"/>
      <c r="F128" s="74"/>
      <c r="G128" s="74"/>
    </row>
    <row r="129">
      <c r="A129" s="98"/>
      <c r="B129" s="99"/>
      <c r="C129" s="74"/>
      <c r="D129" s="74"/>
      <c r="E129" s="74"/>
      <c r="F129" s="74"/>
      <c r="G129" s="74"/>
    </row>
    <row r="130">
      <c r="A130" s="98"/>
      <c r="B130" s="99"/>
      <c r="C130" s="74"/>
      <c r="D130" s="74"/>
      <c r="E130" s="74"/>
      <c r="F130" s="74"/>
      <c r="G130" s="74"/>
    </row>
    <row r="131">
      <c r="A131" s="98"/>
      <c r="B131" s="99"/>
      <c r="C131" s="74"/>
      <c r="D131" s="74"/>
      <c r="E131" s="74"/>
      <c r="F131" s="74"/>
      <c r="G131" s="74"/>
    </row>
    <row r="132">
      <c r="A132" s="98"/>
      <c r="B132" s="99"/>
      <c r="C132" s="74"/>
      <c r="D132" s="74"/>
      <c r="E132" s="74"/>
      <c r="F132" s="74"/>
      <c r="G132" s="74"/>
    </row>
    <row r="133">
      <c r="A133" s="98"/>
      <c r="B133" s="99"/>
      <c r="C133" s="74"/>
      <c r="D133" s="74"/>
      <c r="E133" s="74"/>
      <c r="F133" s="74"/>
      <c r="G133" s="74"/>
    </row>
    <row r="134">
      <c r="A134" s="98"/>
      <c r="B134" s="99"/>
      <c r="C134" s="74"/>
      <c r="D134" s="74"/>
      <c r="E134" s="74"/>
      <c r="F134" s="74"/>
      <c r="G134" s="7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5.63"/>
    <col customWidth="1" min="3" max="4" width="40.13"/>
  </cols>
  <sheetData>
    <row r="1">
      <c r="A1" s="115" t="s">
        <v>65</v>
      </c>
      <c r="B1" s="69" t="s">
        <v>264</v>
      </c>
      <c r="C1" s="69" t="s">
        <v>265</v>
      </c>
      <c r="D1" s="116" t="s">
        <v>266</v>
      </c>
    </row>
    <row r="2">
      <c r="A2" s="65"/>
      <c r="B2" s="3" t="s">
        <v>267</v>
      </c>
      <c r="C2" s="65"/>
      <c r="D2" s="65"/>
    </row>
    <row r="3">
      <c r="A3" s="65"/>
      <c r="B3" s="52" t="s">
        <v>268</v>
      </c>
      <c r="C3" s="65"/>
      <c r="D3" s="65"/>
    </row>
    <row r="4">
      <c r="A4" s="65"/>
      <c r="B4" s="44" t="s">
        <v>269</v>
      </c>
      <c r="C4" s="65"/>
      <c r="D4" s="65"/>
    </row>
    <row r="5">
      <c r="A5" s="65"/>
      <c r="B5" s="3" t="s">
        <v>270</v>
      </c>
      <c r="C5" s="65"/>
      <c r="D5" s="65"/>
    </row>
    <row r="6">
      <c r="A6" s="65"/>
      <c r="B6" s="9" t="s">
        <v>271</v>
      </c>
      <c r="C6" s="65"/>
      <c r="D6" s="65"/>
    </row>
    <row r="7">
      <c r="A7" s="65"/>
      <c r="B7" s="3" t="s">
        <v>272</v>
      </c>
      <c r="C7" s="65"/>
      <c r="D7" s="65"/>
    </row>
    <row r="8">
      <c r="A8" s="65"/>
      <c r="B8" s="9" t="s">
        <v>273</v>
      </c>
      <c r="C8" s="65"/>
      <c r="D8" s="65"/>
    </row>
    <row r="9">
      <c r="A9" s="65"/>
      <c r="B9" s="64" t="s">
        <v>274</v>
      </c>
    </row>
    <row r="10">
      <c r="A10" s="65"/>
      <c r="B10" s="64" t="s">
        <v>275</v>
      </c>
    </row>
    <row r="11">
      <c r="A11" s="65"/>
      <c r="B11" s="64" t="s">
        <v>276</v>
      </c>
      <c r="D11" s="65"/>
    </row>
    <row r="12">
      <c r="A12" s="65"/>
      <c r="B12" s="64" t="s">
        <v>277</v>
      </c>
    </row>
    <row r="13">
      <c r="A13" s="65"/>
      <c r="B13" s="64" t="s">
        <v>278</v>
      </c>
      <c r="C13" s="117"/>
      <c r="D13" s="65"/>
    </row>
    <row r="14">
      <c r="A14" s="65"/>
      <c r="B14" s="44" t="s">
        <v>279</v>
      </c>
    </row>
    <row r="15">
      <c r="A15" s="65"/>
      <c r="B15" s="65"/>
      <c r="C15" s="117" t="s">
        <v>280</v>
      </c>
      <c r="D15" s="65"/>
    </row>
    <row r="16">
      <c r="A16" s="65"/>
      <c r="B16" s="65"/>
      <c r="C16" s="52" t="s">
        <v>281</v>
      </c>
      <c r="D16" s="65"/>
    </row>
    <row r="17">
      <c r="A17" s="65"/>
      <c r="B17" s="65"/>
      <c r="C17" s="65"/>
      <c r="D17" s="44" t="s">
        <v>282</v>
      </c>
    </row>
    <row r="18">
      <c r="A18" s="65"/>
      <c r="B18" s="65"/>
      <c r="C18" s="65"/>
      <c r="D18" s="44" t="s">
        <v>283</v>
      </c>
    </row>
    <row r="19">
      <c r="A19" s="65"/>
      <c r="B19" s="65"/>
      <c r="C19" s="65"/>
      <c r="D19" s="44" t="s">
        <v>284</v>
      </c>
    </row>
    <row r="20">
      <c r="A20" s="65"/>
      <c r="B20" s="65"/>
      <c r="C20" s="65"/>
      <c r="D20" s="44" t="s">
        <v>285</v>
      </c>
    </row>
    <row r="21">
      <c r="A21" s="65"/>
      <c r="B21" s="65"/>
      <c r="C21" s="65"/>
      <c r="D21" s="44" t="s">
        <v>286</v>
      </c>
    </row>
    <row r="22">
      <c r="A22" s="65"/>
      <c r="B22" s="65"/>
      <c r="C22" s="65"/>
      <c r="D22" s="44" t="s">
        <v>287</v>
      </c>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62" t="s">
        <v>288</v>
      </c>
      <c r="B1" s="62" t="s">
        <v>289</v>
      </c>
    </row>
    <row r="2">
      <c r="A2" s="64" t="s">
        <v>290</v>
      </c>
      <c r="B2" s="118" t="s">
        <v>291</v>
      </c>
    </row>
    <row r="3">
      <c r="A3" s="64" t="s">
        <v>292</v>
      </c>
      <c r="B3" s="118" t="s">
        <v>293</v>
      </c>
    </row>
    <row r="4">
      <c r="A4" s="64" t="s">
        <v>294</v>
      </c>
      <c r="B4" s="118" t="s">
        <v>295</v>
      </c>
    </row>
    <row r="5">
      <c r="A5" s="65"/>
      <c r="B5" s="65"/>
    </row>
    <row r="6">
      <c r="A6" s="65"/>
      <c r="B6" s="65"/>
    </row>
    <row r="7">
      <c r="A7" s="65"/>
      <c r="B7" s="65"/>
    </row>
    <row r="8">
      <c r="A8" s="65"/>
      <c r="B8" s="65"/>
    </row>
    <row r="9">
      <c r="A9" s="65"/>
      <c r="B9" s="65"/>
    </row>
    <row r="10">
      <c r="A10" s="65"/>
      <c r="B10" s="65"/>
    </row>
    <row r="11">
      <c r="A11" s="65"/>
      <c r="B11" s="65"/>
    </row>
    <row r="12">
      <c r="A12" s="65"/>
      <c r="B12" s="65"/>
    </row>
    <row r="13">
      <c r="A13" s="65"/>
      <c r="B13" s="65"/>
    </row>
    <row r="14">
      <c r="A14" s="65"/>
      <c r="B14" s="65"/>
    </row>
    <row r="15">
      <c r="A15" s="65"/>
      <c r="B15" s="65"/>
    </row>
    <row r="16">
      <c r="A16" s="65"/>
      <c r="B16" s="65"/>
    </row>
    <row r="17">
      <c r="A17" s="65"/>
      <c r="B17" s="65"/>
    </row>
    <row r="18">
      <c r="A18" s="65"/>
      <c r="B18" s="65"/>
    </row>
    <row r="19">
      <c r="A19" s="65"/>
      <c r="B19" s="65"/>
    </row>
    <row r="20">
      <c r="A20" s="65"/>
      <c r="B20" s="65"/>
    </row>
  </sheetData>
  <hyperlinks>
    <hyperlink r:id="rId1" location="user-documentation" ref="B2"/>
    <hyperlink r:id="rId2" location="design-documentation" ref="B3"/>
    <hyperlink r:id="rId3" location="build-and-deploy-documentation" ref="B4"/>
  </hyperlinks>
  <drawing r:id="rId4"/>
  <tableParts count="1">
    <tablePart r:id="rId6"/>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38"/>
    <col customWidth="1" min="2" max="2" width="38.0"/>
    <col customWidth="1" min="3" max="3" width="37.63"/>
    <col customWidth="1" min="4" max="4" width="19.25"/>
    <col customWidth="1" min="5" max="5" width="16.63"/>
    <col customWidth="1" min="6" max="6" width="59.25"/>
    <col customWidth="1" min="7" max="7" width="42.0"/>
    <col customWidth="1" min="8" max="9" width="37.63"/>
    <col customWidth="1" min="10" max="10" width="9.0"/>
    <col customWidth="1" min="11" max="11" width="14.75"/>
    <col customWidth="1" min="12" max="12" width="25.88"/>
    <col customWidth="1" min="13" max="21" width="37.63"/>
  </cols>
  <sheetData>
    <row r="1">
      <c r="A1" s="119" t="s">
        <v>296</v>
      </c>
      <c r="B1" s="120" t="s">
        <v>297</v>
      </c>
      <c r="C1" s="121"/>
      <c r="D1" s="122" t="s">
        <v>298</v>
      </c>
      <c r="E1" s="121"/>
      <c r="F1" s="121"/>
      <c r="G1" s="121"/>
      <c r="H1" s="121"/>
      <c r="I1" s="122" t="s">
        <v>299</v>
      </c>
      <c r="J1" s="121"/>
      <c r="K1" s="123"/>
      <c r="L1" s="121"/>
      <c r="M1" s="121"/>
      <c r="N1" s="121"/>
      <c r="O1" s="121"/>
      <c r="P1" s="122" t="s">
        <v>300</v>
      </c>
      <c r="Q1" s="121"/>
      <c r="R1" s="121"/>
      <c r="S1" s="121"/>
      <c r="T1" s="121"/>
      <c r="U1" s="121"/>
    </row>
    <row r="2">
      <c r="A2" s="119" t="s">
        <v>301</v>
      </c>
      <c r="B2" s="124" t="s">
        <v>302</v>
      </c>
      <c r="C2" s="125"/>
      <c r="D2" s="125"/>
      <c r="E2" s="125"/>
      <c r="F2" s="125"/>
      <c r="G2" s="125"/>
      <c r="H2" s="125"/>
      <c r="I2" s="125"/>
      <c r="J2" s="125"/>
      <c r="K2" s="126"/>
      <c r="L2" s="125"/>
      <c r="M2" s="125"/>
      <c r="N2" s="125"/>
      <c r="O2" s="125"/>
      <c r="P2" s="125"/>
      <c r="Q2" s="125"/>
      <c r="R2" s="125"/>
      <c r="S2" s="125"/>
      <c r="T2" s="125"/>
      <c r="U2" s="125"/>
    </row>
    <row r="3">
      <c r="A3" s="119" t="s">
        <v>303</v>
      </c>
      <c r="B3" s="124" t="s">
        <v>304</v>
      </c>
      <c r="C3" s="125"/>
      <c r="D3" s="125"/>
      <c r="E3" s="125"/>
      <c r="F3" s="125"/>
      <c r="G3" s="125"/>
      <c r="H3" s="125"/>
      <c r="I3" s="125"/>
      <c r="J3" s="125"/>
      <c r="K3" s="126"/>
      <c r="L3" s="125"/>
      <c r="M3" s="125"/>
      <c r="N3" s="125"/>
      <c r="O3" s="125"/>
      <c r="P3" s="125"/>
      <c r="Q3" s="125"/>
      <c r="R3" s="125"/>
      <c r="S3" s="125"/>
      <c r="T3" s="125"/>
      <c r="U3" s="125"/>
    </row>
    <row r="4">
      <c r="A4" s="119" t="s">
        <v>305</v>
      </c>
      <c r="B4" s="124" t="s">
        <v>306</v>
      </c>
      <c r="C4" s="125"/>
      <c r="D4" s="119" t="s">
        <v>307</v>
      </c>
      <c r="E4" s="119" t="s">
        <v>308</v>
      </c>
      <c r="F4" s="119" t="s">
        <v>309</v>
      </c>
      <c r="G4" s="119" t="s">
        <v>310</v>
      </c>
      <c r="H4" s="125"/>
      <c r="I4" s="127" t="s">
        <v>307</v>
      </c>
      <c r="J4" s="127" t="s">
        <v>308</v>
      </c>
      <c r="K4" s="127" t="s">
        <v>301</v>
      </c>
      <c r="L4" s="127" t="s">
        <v>311</v>
      </c>
      <c r="M4" s="127" t="s">
        <v>312</v>
      </c>
      <c r="N4" s="127" t="s">
        <v>310</v>
      </c>
      <c r="O4" s="125"/>
      <c r="P4" s="127" t="s">
        <v>307</v>
      </c>
      <c r="Q4" s="127" t="s">
        <v>308</v>
      </c>
      <c r="R4" s="127" t="s">
        <v>301</v>
      </c>
      <c r="S4" s="127" t="s">
        <v>310</v>
      </c>
      <c r="T4" s="128"/>
      <c r="U4" s="128"/>
    </row>
    <row r="5">
      <c r="A5" s="119" t="s">
        <v>313</v>
      </c>
      <c r="B5" s="129" t="s">
        <v>314</v>
      </c>
      <c r="C5" s="125"/>
      <c r="D5" s="119" t="s">
        <v>124</v>
      </c>
      <c r="E5" s="130" t="s">
        <v>315</v>
      </c>
      <c r="F5" s="130" t="s">
        <v>316</v>
      </c>
      <c r="G5" s="130" t="s">
        <v>317</v>
      </c>
      <c r="H5" s="125"/>
      <c r="I5" s="131" t="s">
        <v>318</v>
      </c>
      <c r="J5" s="132" t="s">
        <v>319</v>
      </c>
      <c r="K5" s="133" t="s">
        <v>320</v>
      </c>
      <c r="L5" s="132" t="s">
        <v>321</v>
      </c>
      <c r="M5" s="132" t="s">
        <v>322</v>
      </c>
      <c r="N5" s="132" t="s">
        <v>323</v>
      </c>
      <c r="O5" s="125"/>
      <c r="P5" s="131" t="s">
        <v>324</v>
      </c>
      <c r="Q5" s="132" t="s">
        <v>325</v>
      </c>
      <c r="R5" s="132" t="s">
        <v>326</v>
      </c>
      <c r="S5" s="132" t="s">
        <v>327</v>
      </c>
      <c r="T5" s="134"/>
      <c r="U5" s="134"/>
    </row>
    <row r="6">
      <c r="A6" s="119" t="s">
        <v>328</v>
      </c>
      <c r="B6" s="129" t="s">
        <v>83</v>
      </c>
      <c r="C6" s="125"/>
      <c r="D6" s="119" t="s">
        <v>329</v>
      </c>
      <c r="E6" s="130" t="s">
        <v>330</v>
      </c>
      <c r="F6" s="130" t="s">
        <v>331</v>
      </c>
      <c r="G6" s="130" t="s">
        <v>332</v>
      </c>
      <c r="H6" s="125"/>
      <c r="I6" s="131" t="s">
        <v>333</v>
      </c>
      <c r="J6" s="132" t="s">
        <v>319</v>
      </c>
      <c r="K6" s="133" t="s">
        <v>334</v>
      </c>
      <c r="L6" s="132" t="s">
        <v>335</v>
      </c>
      <c r="M6" s="132" t="s">
        <v>336</v>
      </c>
      <c r="N6" s="132" t="s">
        <v>337</v>
      </c>
      <c r="O6" s="125"/>
      <c r="P6" s="131" t="s">
        <v>338</v>
      </c>
      <c r="Q6" s="133" t="s">
        <v>314</v>
      </c>
      <c r="R6" s="132" t="s">
        <v>339</v>
      </c>
      <c r="S6" s="132" t="s">
        <v>340</v>
      </c>
      <c r="T6" s="134"/>
      <c r="U6" s="134"/>
    </row>
    <row r="7">
      <c r="A7" s="125"/>
      <c r="B7" s="125"/>
      <c r="C7" s="125"/>
      <c r="D7" s="119" t="s">
        <v>341</v>
      </c>
      <c r="E7" s="130" t="s">
        <v>342</v>
      </c>
      <c r="F7" s="130" t="s">
        <v>343</v>
      </c>
      <c r="G7" s="130" t="s">
        <v>344</v>
      </c>
      <c r="H7" s="125"/>
      <c r="I7" s="131" t="s">
        <v>345</v>
      </c>
      <c r="J7" s="132" t="s">
        <v>319</v>
      </c>
      <c r="K7" s="132" t="s">
        <v>346</v>
      </c>
      <c r="L7" s="132" t="s">
        <v>347</v>
      </c>
      <c r="M7" s="132" t="s">
        <v>348</v>
      </c>
      <c r="N7" s="132" t="s">
        <v>349</v>
      </c>
      <c r="O7" s="125"/>
      <c r="P7" s="131" t="s">
        <v>350</v>
      </c>
      <c r="Q7" s="133" t="s">
        <v>351</v>
      </c>
      <c r="R7" s="132" t="s">
        <v>352</v>
      </c>
      <c r="S7" s="132" t="s">
        <v>353</v>
      </c>
      <c r="T7" s="134"/>
      <c r="U7" s="134"/>
    </row>
    <row r="8">
      <c r="A8" s="125"/>
      <c r="B8" s="125"/>
      <c r="C8" s="125"/>
      <c r="D8" s="119" t="s">
        <v>354</v>
      </c>
      <c r="E8" s="130" t="s">
        <v>342</v>
      </c>
      <c r="F8" s="130" t="s">
        <v>355</v>
      </c>
      <c r="G8" s="130" t="s">
        <v>356</v>
      </c>
      <c r="H8" s="125"/>
      <c r="I8" s="131" t="s">
        <v>357</v>
      </c>
      <c r="J8" s="132" t="s">
        <v>319</v>
      </c>
      <c r="K8" s="132" t="s">
        <v>358</v>
      </c>
      <c r="L8" s="132" t="s">
        <v>347</v>
      </c>
      <c r="M8" s="132" t="s">
        <v>359</v>
      </c>
      <c r="N8" s="132" t="s">
        <v>360</v>
      </c>
      <c r="O8" s="125"/>
      <c r="P8" s="125"/>
      <c r="Q8" s="125"/>
      <c r="R8" s="125"/>
      <c r="S8" s="125"/>
      <c r="T8" s="125"/>
      <c r="U8" s="125"/>
    </row>
    <row r="9">
      <c r="A9" s="125"/>
      <c r="B9" s="125"/>
      <c r="C9" s="125"/>
      <c r="D9" s="135" t="s">
        <v>309</v>
      </c>
      <c r="E9" s="130" t="s">
        <v>361</v>
      </c>
      <c r="F9" s="136" t="s">
        <v>362</v>
      </c>
      <c r="G9" s="130" t="s">
        <v>363</v>
      </c>
      <c r="H9" s="125"/>
      <c r="I9" s="131" t="s">
        <v>364</v>
      </c>
      <c r="J9" s="132" t="s">
        <v>365</v>
      </c>
      <c r="K9" s="133" t="s">
        <v>366</v>
      </c>
      <c r="L9" s="132" t="s">
        <v>367</v>
      </c>
      <c r="M9" s="132" t="s">
        <v>368</v>
      </c>
      <c r="N9" s="132" t="s">
        <v>369</v>
      </c>
      <c r="O9" s="125"/>
      <c r="P9" s="125"/>
      <c r="Q9" s="125"/>
      <c r="R9" s="125"/>
      <c r="S9" s="125"/>
      <c r="T9" s="125"/>
      <c r="U9" s="125"/>
    </row>
    <row r="10">
      <c r="A10" s="125"/>
      <c r="B10" s="125"/>
      <c r="C10" s="125"/>
      <c r="D10" s="137" t="s">
        <v>370</v>
      </c>
      <c r="E10" s="136" t="s">
        <v>371</v>
      </c>
      <c r="F10" s="138" t="s">
        <v>372</v>
      </c>
      <c r="G10" s="138" t="s">
        <v>373</v>
      </c>
      <c r="H10" s="125"/>
      <c r="I10" s="131" t="s">
        <v>374</v>
      </c>
      <c r="J10" s="132" t="s">
        <v>365</v>
      </c>
      <c r="K10" s="132" t="s">
        <v>375</v>
      </c>
      <c r="L10" s="132" t="s">
        <v>376</v>
      </c>
      <c r="M10" s="132" t="s">
        <v>377</v>
      </c>
      <c r="N10" s="132" t="s">
        <v>378</v>
      </c>
      <c r="O10" s="125"/>
      <c r="P10" s="139"/>
      <c r="Q10" s="125"/>
      <c r="R10" s="125"/>
      <c r="S10" s="125"/>
      <c r="T10" s="125"/>
      <c r="U10" s="125"/>
    </row>
    <row r="11">
      <c r="A11" s="125"/>
      <c r="B11" s="125"/>
      <c r="C11" s="125"/>
      <c r="H11" s="125"/>
      <c r="I11" s="131" t="s">
        <v>379</v>
      </c>
      <c r="J11" s="132" t="s">
        <v>365</v>
      </c>
      <c r="K11" s="132" t="s">
        <v>380</v>
      </c>
      <c r="L11" s="132" t="s">
        <v>347</v>
      </c>
      <c r="M11" s="132" t="s">
        <v>348</v>
      </c>
      <c r="N11" s="132" t="s">
        <v>381</v>
      </c>
      <c r="O11" s="125"/>
      <c r="P11" s="59"/>
      <c r="Q11" s="59"/>
      <c r="R11" s="59"/>
      <c r="S11" s="59"/>
      <c r="T11" s="125"/>
      <c r="U11" s="125"/>
    </row>
    <row r="12">
      <c r="A12" s="125"/>
      <c r="B12" s="125"/>
      <c r="C12" s="125"/>
      <c r="D12" s="140"/>
      <c r="E12" s="140"/>
      <c r="F12" s="140"/>
      <c r="G12" s="140"/>
      <c r="H12" s="125"/>
      <c r="I12" s="131" t="s">
        <v>382</v>
      </c>
      <c r="J12" s="132" t="s">
        <v>365</v>
      </c>
      <c r="K12" s="132" t="s">
        <v>383</v>
      </c>
      <c r="L12" s="132" t="s">
        <v>367</v>
      </c>
      <c r="M12" s="132" t="s">
        <v>384</v>
      </c>
      <c r="N12" s="132" t="s">
        <v>385</v>
      </c>
      <c r="O12" s="125"/>
      <c r="T12" s="125"/>
      <c r="U12" s="125"/>
    </row>
    <row r="13">
      <c r="A13" s="125"/>
      <c r="B13" s="125"/>
      <c r="C13" s="125"/>
      <c r="D13" s="141" t="s">
        <v>386</v>
      </c>
      <c r="E13" s="142"/>
      <c r="F13" s="142"/>
      <c r="G13" s="142"/>
      <c r="H13" s="125"/>
      <c r="I13" s="131" t="s">
        <v>387</v>
      </c>
      <c r="J13" s="132" t="s">
        <v>365</v>
      </c>
      <c r="K13" s="132" t="s">
        <v>388</v>
      </c>
      <c r="L13" s="132" t="s">
        <v>367</v>
      </c>
      <c r="M13" s="132" t="s">
        <v>389</v>
      </c>
      <c r="N13" s="132" t="s">
        <v>390</v>
      </c>
      <c r="O13" s="125"/>
      <c r="P13" s="44"/>
      <c r="Q13" s="143"/>
      <c r="R13" s="44"/>
      <c r="S13" s="44"/>
      <c r="T13" s="125"/>
      <c r="U13" s="125"/>
    </row>
    <row r="14">
      <c r="A14" s="125"/>
      <c r="B14" s="125"/>
      <c r="C14" s="125"/>
      <c r="D14" s="144" t="s">
        <v>134</v>
      </c>
      <c r="E14" s="145" t="s">
        <v>315</v>
      </c>
      <c r="F14" s="145" t="s">
        <v>391</v>
      </c>
      <c r="G14" s="145" t="s">
        <v>392</v>
      </c>
      <c r="H14" s="125"/>
      <c r="I14" s="131" t="s">
        <v>393</v>
      </c>
      <c r="J14" s="132" t="s">
        <v>365</v>
      </c>
      <c r="K14" s="132" t="s">
        <v>394</v>
      </c>
      <c r="L14" s="132" t="s">
        <v>376</v>
      </c>
      <c r="M14" s="132" t="s">
        <v>395</v>
      </c>
      <c r="N14" s="132" t="s">
        <v>396</v>
      </c>
      <c r="O14" s="125"/>
      <c r="P14" s="44"/>
      <c r="Q14" s="143"/>
      <c r="R14" s="44"/>
      <c r="S14" s="44"/>
    </row>
    <row r="15">
      <c r="A15" s="125"/>
      <c r="B15" s="125"/>
      <c r="C15" s="125"/>
      <c r="D15" s="146"/>
      <c r="E15" s="146"/>
      <c r="F15" s="146"/>
      <c r="G15" s="146"/>
      <c r="H15" s="125"/>
      <c r="I15" s="131" t="s">
        <v>397</v>
      </c>
      <c r="J15" s="132" t="s">
        <v>365</v>
      </c>
      <c r="K15" s="132" t="s">
        <v>358</v>
      </c>
      <c r="L15" s="132" t="s">
        <v>347</v>
      </c>
      <c r="M15" s="132" t="s">
        <v>398</v>
      </c>
      <c r="N15" s="132" t="s">
        <v>399</v>
      </c>
      <c r="O15" s="125"/>
      <c r="P15" s="44"/>
      <c r="Q15" s="143"/>
      <c r="R15" s="44"/>
      <c r="S15" s="44"/>
      <c r="T15" s="125"/>
      <c r="U15" s="125"/>
    </row>
    <row r="16">
      <c r="A16" s="125"/>
      <c r="B16" s="125"/>
      <c r="C16" s="125"/>
      <c r="D16" s="122" t="s">
        <v>400</v>
      </c>
      <c r="E16" s="125"/>
      <c r="F16" s="125"/>
      <c r="G16" s="125"/>
      <c r="H16" s="125"/>
      <c r="I16" s="131" t="s">
        <v>401</v>
      </c>
      <c r="J16" s="132" t="s">
        <v>365</v>
      </c>
      <c r="K16" s="132" t="s">
        <v>402</v>
      </c>
      <c r="L16" s="132" t="s">
        <v>347</v>
      </c>
      <c r="M16" s="132" t="s">
        <v>403</v>
      </c>
      <c r="N16" s="132" t="s">
        <v>404</v>
      </c>
      <c r="O16" s="125"/>
      <c r="P16" s="44"/>
      <c r="Q16" s="143"/>
      <c r="R16" s="44"/>
      <c r="S16" s="44"/>
      <c r="T16" s="125"/>
      <c r="U16" s="125"/>
    </row>
    <row r="17">
      <c r="A17" s="125"/>
      <c r="B17" s="125"/>
      <c r="C17" s="125"/>
      <c r="D17" s="125"/>
      <c r="E17" s="125"/>
      <c r="F17" s="125"/>
      <c r="G17" s="125"/>
      <c r="H17" s="125"/>
      <c r="I17" s="131" t="s">
        <v>405</v>
      </c>
      <c r="J17" s="132" t="s">
        <v>365</v>
      </c>
      <c r="K17" s="132" t="s">
        <v>406</v>
      </c>
      <c r="L17" s="132" t="s">
        <v>376</v>
      </c>
      <c r="M17" s="133" t="s">
        <v>407</v>
      </c>
      <c r="N17" s="132" t="s">
        <v>408</v>
      </c>
      <c r="O17" s="125"/>
      <c r="P17" s="44"/>
      <c r="Q17" s="143"/>
      <c r="R17" s="44"/>
      <c r="S17" s="44"/>
      <c r="T17" s="125"/>
      <c r="U17" s="125"/>
    </row>
    <row r="18">
      <c r="A18" s="125"/>
      <c r="B18" s="125"/>
      <c r="C18" s="125"/>
      <c r="D18" s="119" t="s">
        <v>307</v>
      </c>
      <c r="E18" s="119" t="s">
        <v>308</v>
      </c>
      <c r="F18" s="119" t="s">
        <v>309</v>
      </c>
      <c r="G18" s="119" t="s">
        <v>310</v>
      </c>
      <c r="H18" s="125"/>
      <c r="I18" s="131" t="s">
        <v>409</v>
      </c>
      <c r="J18" s="132" t="s">
        <v>365</v>
      </c>
      <c r="K18" s="132" t="s">
        <v>410</v>
      </c>
      <c r="L18" s="132" t="s">
        <v>367</v>
      </c>
      <c r="M18" s="132" t="s">
        <v>411</v>
      </c>
      <c r="N18" s="132" t="s">
        <v>412</v>
      </c>
      <c r="O18" s="125"/>
      <c r="P18" s="125"/>
      <c r="Q18" s="125"/>
      <c r="R18" s="125"/>
      <c r="S18" s="125"/>
      <c r="T18" s="125"/>
      <c r="U18" s="125"/>
    </row>
    <row r="19">
      <c r="A19" s="125"/>
      <c r="B19" s="125"/>
      <c r="C19" s="125"/>
      <c r="D19" s="119" t="s">
        <v>391</v>
      </c>
      <c r="E19" s="147"/>
      <c r="F19" s="147"/>
      <c r="G19" s="147"/>
      <c r="H19" s="125"/>
      <c r="I19" s="131" t="s">
        <v>413</v>
      </c>
      <c r="J19" s="132" t="s">
        <v>365</v>
      </c>
      <c r="K19" s="132" t="s">
        <v>414</v>
      </c>
      <c r="L19" s="132" t="s">
        <v>376</v>
      </c>
      <c r="M19" s="132" t="s">
        <v>415</v>
      </c>
      <c r="N19" s="132" t="s">
        <v>416</v>
      </c>
      <c r="O19" s="125"/>
      <c r="P19" s="125"/>
      <c r="Q19" s="125"/>
      <c r="R19" s="125"/>
      <c r="S19" s="125"/>
      <c r="T19" s="125"/>
      <c r="U19" s="125"/>
    </row>
    <row r="20">
      <c r="A20" s="125"/>
      <c r="B20" s="125"/>
      <c r="C20" s="125"/>
      <c r="D20" s="147"/>
      <c r="E20" s="147"/>
      <c r="F20" s="147"/>
      <c r="G20" s="147"/>
      <c r="H20" s="125"/>
      <c r="I20" s="131" t="s">
        <v>417</v>
      </c>
      <c r="J20" s="132" t="s">
        <v>365</v>
      </c>
      <c r="K20" s="132" t="s">
        <v>418</v>
      </c>
      <c r="L20" s="132" t="s">
        <v>376</v>
      </c>
      <c r="M20" s="132" t="s">
        <v>419</v>
      </c>
      <c r="N20" s="132" t="s">
        <v>420</v>
      </c>
      <c r="O20" s="125"/>
      <c r="P20" s="125"/>
      <c r="R20" s="125"/>
      <c r="S20" s="125"/>
      <c r="T20" s="125"/>
      <c r="U20" s="125"/>
    </row>
    <row r="21">
      <c r="A21" s="125"/>
      <c r="B21" s="125"/>
      <c r="C21" s="125"/>
      <c r="D21" s="147"/>
      <c r="E21" s="147"/>
      <c r="F21" s="147"/>
      <c r="G21" s="147"/>
      <c r="H21" s="125"/>
      <c r="I21" s="131" t="s">
        <v>421</v>
      </c>
      <c r="J21" s="132" t="s">
        <v>365</v>
      </c>
      <c r="K21" s="132" t="s">
        <v>422</v>
      </c>
      <c r="L21" s="132" t="s">
        <v>423</v>
      </c>
      <c r="M21" s="132" t="s">
        <v>424</v>
      </c>
      <c r="N21" s="132" t="s">
        <v>425</v>
      </c>
      <c r="O21" s="125"/>
      <c r="P21" s="125"/>
      <c r="Q21" s="125"/>
      <c r="R21" s="125"/>
      <c r="S21" s="125"/>
      <c r="T21" s="125"/>
      <c r="U21" s="125"/>
    </row>
    <row r="22">
      <c r="A22" s="125"/>
      <c r="B22" s="125"/>
      <c r="C22" s="125"/>
      <c r="D22" s="147"/>
      <c r="E22" s="147"/>
      <c r="F22" s="147"/>
      <c r="G22" s="147"/>
      <c r="H22" s="125"/>
      <c r="I22" s="148" t="s">
        <v>426</v>
      </c>
      <c r="J22" s="132" t="s">
        <v>365</v>
      </c>
      <c r="K22" s="132" t="s">
        <v>427</v>
      </c>
      <c r="L22" s="132" t="s">
        <v>376</v>
      </c>
      <c r="M22" s="132" t="s">
        <v>428</v>
      </c>
      <c r="N22" s="132" t="s">
        <v>429</v>
      </c>
      <c r="O22" s="125"/>
      <c r="P22" s="125"/>
      <c r="Q22" s="125"/>
      <c r="R22" s="125"/>
      <c r="S22" s="125"/>
      <c r="T22" s="125"/>
      <c r="U22" s="125"/>
    </row>
    <row r="23">
      <c r="A23" s="125"/>
      <c r="B23" s="125"/>
      <c r="C23" s="125"/>
      <c r="D23" s="147"/>
      <c r="E23" s="147"/>
      <c r="F23" s="147"/>
      <c r="G23" s="147"/>
      <c r="H23" s="125"/>
      <c r="I23" s="149" t="s">
        <v>430</v>
      </c>
      <c r="J23" s="138" t="s">
        <v>365</v>
      </c>
      <c r="K23" s="138" t="s">
        <v>431</v>
      </c>
      <c r="L23" s="138" t="s">
        <v>347</v>
      </c>
      <c r="M23" s="138" t="s">
        <v>432</v>
      </c>
      <c r="N23" s="138" t="s">
        <v>433</v>
      </c>
      <c r="O23" s="125"/>
      <c r="P23" s="125"/>
      <c r="Q23" s="125"/>
      <c r="R23" s="125"/>
      <c r="S23" s="125"/>
      <c r="T23" s="125"/>
      <c r="U23" s="125"/>
    </row>
    <row r="24">
      <c r="A24" s="125"/>
      <c r="B24" s="125"/>
      <c r="C24" s="125"/>
      <c r="D24" s="147"/>
      <c r="E24" s="147"/>
      <c r="F24" s="147"/>
      <c r="G24" s="147"/>
      <c r="H24" s="125"/>
      <c r="O24" s="125"/>
      <c r="P24" s="125"/>
      <c r="Q24" s="125"/>
      <c r="R24" s="125"/>
      <c r="S24" s="125"/>
      <c r="T24" s="125"/>
      <c r="U24" s="125"/>
    </row>
    <row r="25">
      <c r="A25" s="125"/>
      <c r="B25" s="125"/>
      <c r="C25" s="125"/>
      <c r="D25" s="147"/>
      <c r="E25" s="147"/>
      <c r="F25" s="147"/>
      <c r="G25" s="147"/>
      <c r="H25" s="125"/>
      <c r="I25" s="125"/>
      <c r="J25" s="125"/>
      <c r="K25" s="126"/>
      <c r="L25" s="125"/>
      <c r="M25" s="125"/>
      <c r="N25" s="125"/>
      <c r="O25" s="125"/>
      <c r="P25" s="125"/>
      <c r="Q25" s="125"/>
      <c r="R25" s="125"/>
      <c r="S25" s="125"/>
      <c r="T25" s="125"/>
      <c r="U25" s="125"/>
    </row>
    <row r="26">
      <c r="A26" s="125"/>
      <c r="B26" s="125"/>
      <c r="C26" s="125"/>
      <c r="D26" s="147"/>
      <c r="E26" s="147"/>
      <c r="F26" s="147"/>
      <c r="G26" s="147"/>
      <c r="H26" s="125"/>
      <c r="I26" s="125"/>
      <c r="J26" s="125"/>
      <c r="K26" s="126"/>
      <c r="L26" s="125"/>
      <c r="M26" s="125"/>
      <c r="N26" s="125"/>
      <c r="O26" s="125"/>
      <c r="P26" s="125"/>
      <c r="Q26" s="125"/>
      <c r="R26" s="125"/>
      <c r="S26" s="125"/>
      <c r="T26" s="125"/>
      <c r="U26" s="125"/>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50" t="str">
        <f>'Project Team'!A1</f>
        <v>Last Name</v>
      </c>
      <c r="B1" s="150" t="str">
        <f>'Project Team'!B1</f>
        <v>First Name</v>
      </c>
      <c r="C1" s="151" t="s">
        <v>434</v>
      </c>
      <c r="D1" s="152"/>
      <c r="E1" s="153"/>
      <c r="F1" s="154"/>
      <c r="G1" s="155"/>
      <c r="H1" s="155"/>
    </row>
    <row r="2">
      <c r="A2" s="156" t="str">
        <f>'Project Team'!A2</f>
        <v>Böhm</v>
      </c>
      <c r="B2" s="156" t="str">
        <f>'Project Team'!B2</f>
        <v>Luca</v>
      </c>
      <c r="C2" s="157"/>
      <c r="D2" s="158"/>
      <c r="E2" s="159" t="str">
        <f>average(C2:C10)</f>
        <v>#DIV/0!</v>
      </c>
      <c r="F2" s="160" t="str">
        <f>if(stdev(C2:C7) &gt; 0,"NOK", "OK")</f>
        <v>#DIV/0!</v>
      </c>
      <c r="G2" s="161"/>
      <c r="H2" s="161"/>
    </row>
    <row r="3">
      <c r="A3" s="162" t="str">
        <f>'Project Team'!A3</f>
        <v>Meusling</v>
      </c>
      <c r="B3" s="162" t="str">
        <f>'Project Team'!B3</f>
        <v>Patrick</v>
      </c>
      <c r="C3" s="157"/>
      <c r="D3" s="163"/>
      <c r="G3" s="164"/>
      <c r="H3" s="164"/>
    </row>
    <row r="4">
      <c r="A4" s="156" t="str">
        <f>'Project Team'!A4</f>
        <v>Arifin</v>
      </c>
      <c r="B4" s="156" t="str">
        <f>'Project Team'!B4</f>
        <v>Hafidz</v>
      </c>
      <c r="C4" s="165"/>
      <c r="D4" s="158"/>
      <c r="G4" s="161"/>
      <c r="H4" s="161"/>
    </row>
    <row r="5">
      <c r="A5" s="162" t="str">
        <f>'Project Team'!A5</f>
        <v>Huy</v>
      </c>
      <c r="B5" s="162" t="str">
        <f>'Project Team'!B5</f>
        <v>Christoph</v>
      </c>
      <c r="C5" s="157"/>
      <c r="D5" s="166"/>
      <c r="E5" s="166"/>
      <c r="F5" s="166"/>
      <c r="G5" s="164"/>
      <c r="H5" s="164"/>
    </row>
    <row r="6">
      <c r="A6" s="156" t="str">
        <f>'Project Team'!A6</f>
        <v>Selbig</v>
      </c>
      <c r="B6" s="156" t="str">
        <f>'Project Team'!B6</f>
        <v>Simon</v>
      </c>
      <c r="C6" s="157"/>
      <c r="D6" s="167"/>
      <c r="E6" s="168">
        <v>0.0</v>
      </c>
      <c r="F6" s="169" t="s">
        <v>435</v>
      </c>
      <c r="G6" s="161"/>
      <c r="H6" s="161"/>
    </row>
    <row r="7">
      <c r="A7" s="162" t="str">
        <f>'Project Team'!A7</f>
        <v>Haseeb</v>
      </c>
      <c r="B7" s="162" t="str">
        <f>'Project Team'!B7</f>
        <v>Abdul</v>
      </c>
      <c r="C7" s="157"/>
      <c r="D7" s="166"/>
      <c r="E7" s="168">
        <v>1.0</v>
      </c>
      <c r="F7" s="169" t="s">
        <v>436</v>
      </c>
      <c r="G7" s="164"/>
      <c r="H7" s="164"/>
    </row>
    <row r="8">
      <c r="A8" s="156" t="str">
        <f>'Project Team'!A8</f>
        <v>Pohnke</v>
      </c>
      <c r="B8" s="156" t="str">
        <f>'Project Team'!B8</f>
        <v>Hannes</v>
      </c>
      <c r="C8" s="157"/>
      <c r="D8" s="167"/>
      <c r="E8" s="168">
        <v>2.0</v>
      </c>
      <c r="F8" s="169" t="s">
        <v>437</v>
      </c>
      <c r="G8" s="161"/>
      <c r="H8" s="161"/>
    </row>
    <row r="9">
      <c r="A9" s="162" t="str">
        <f>'Project Team'!A9</f>
        <v>Jokiel</v>
      </c>
      <c r="B9" s="162" t="str">
        <f>'Project Team'!B9</f>
        <v>Rene</v>
      </c>
      <c r="C9" s="157"/>
      <c r="D9" s="166"/>
      <c r="E9" s="168">
        <v>3.0</v>
      </c>
      <c r="F9" s="169" t="s">
        <v>438</v>
      </c>
      <c r="G9" s="164"/>
      <c r="H9" s="164"/>
    </row>
    <row r="10">
      <c r="A10" s="156" t="str">
        <f>'Project Team'!A10</f>
        <v>Khabouze</v>
      </c>
      <c r="B10" s="156" t="str">
        <f>'Project Team'!B10</f>
        <v>Mehdi</v>
      </c>
      <c r="C10" s="157"/>
      <c r="D10" s="167"/>
      <c r="E10" s="168">
        <v>5.0</v>
      </c>
      <c r="F10" s="169" t="s">
        <v>439</v>
      </c>
      <c r="G10" s="161"/>
      <c r="H10" s="161"/>
    </row>
    <row r="11">
      <c r="A11" s="162"/>
      <c r="B11" s="162"/>
      <c r="C11" s="165"/>
      <c r="D11" s="166"/>
      <c r="E11" s="168">
        <v>8.0</v>
      </c>
      <c r="F11" s="169" t="s">
        <v>440</v>
      </c>
      <c r="G11" s="164"/>
      <c r="H11" s="164"/>
    </row>
    <row r="12">
      <c r="A12" s="156"/>
      <c r="B12" s="156"/>
      <c r="C12" s="165"/>
      <c r="D12" s="167"/>
      <c r="E12" s="168">
        <v>13.0</v>
      </c>
      <c r="F12" s="169" t="s">
        <v>441</v>
      </c>
      <c r="G12" s="161"/>
      <c r="H12" s="161"/>
    </row>
    <row r="13">
      <c r="A13" s="162"/>
      <c r="B13" s="162"/>
      <c r="C13" s="166"/>
      <c r="D13" s="166"/>
      <c r="E13" s="166"/>
      <c r="F13" s="166"/>
      <c r="G13" s="164"/>
      <c r="H13" s="164"/>
    </row>
    <row r="14">
      <c r="A14" s="170" t="s">
        <v>442</v>
      </c>
      <c r="B14" s="171"/>
      <c r="C14" s="171"/>
      <c r="D14" s="171"/>
      <c r="E14" s="171"/>
      <c r="F14" s="171"/>
      <c r="G14" s="171"/>
      <c r="H14" s="171"/>
    </row>
    <row r="15">
      <c r="A15" s="172"/>
      <c r="B15" s="172"/>
      <c r="C15" s="172"/>
      <c r="D15" s="172"/>
      <c r="E15" s="172"/>
      <c r="F15" s="172"/>
      <c r="G15" s="172"/>
      <c r="H15" s="172"/>
    </row>
    <row r="16">
      <c r="A16" s="173" t="s">
        <v>443</v>
      </c>
      <c r="B16" s="174"/>
      <c r="C16" s="174"/>
      <c r="D16" s="174"/>
      <c r="E16" s="174"/>
      <c r="F16" s="174"/>
      <c r="G16" s="174"/>
      <c r="H16" s="174"/>
    </row>
    <row r="17">
      <c r="A17" s="175" t="s">
        <v>444</v>
      </c>
      <c r="B17" s="172"/>
      <c r="C17" s="172"/>
      <c r="D17" s="172"/>
      <c r="E17" s="172"/>
      <c r="F17" s="172"/>
      <c r="G17" s="172"/>
      <c r="H17" s="172"/>
    </row>
    <row r="18">
      <c r="A18" s="173" t="s">
        <v>445</v>
      </c>
      <c r="B18" s="174"/>
      <c r="C18" s="174"/>
      <c r="D18" s="174"/>
      <c r="E18" s="174"/>
      <c r="F18" s="174"/>
      <c r="G18" s="174"/>
      <c r="H18" s="174"/>
    </row>
    <row r="19">
      <c r="A19" s="172"/>
      <c r="B19" s="172"/>
      <c r="C19" s="172"/>
      <c r="D19" s="172"/>
      <c r="E19" s="172"/>
      <c r="F19" s="172"/>
      <c r="G19" s="172"/>
      <c r="H19" s="172"/>
    </row>
    <row r="20">
      <c r="A20" s="174"/>
      <c r="B20" s="174"/>
      <c r="C20" s="174"/>
      <c r="D20" s="174"/>
      <c r="E20" s="174"/>
      <c r="F20" s="174"/>
      <c r="G20" s="174"/>
      <c r="H20" s="174"/>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