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Data" sheetId="1" r:id="rId3"/>
    <sheet state="visible" name="Project Team" sheetId="2" r:id="rId4"/>
    <sheet state="visible" name="Role Assignments" sheetId="3" r:id="rId5"/>
    <sheet state="visible" name="Team Contract" sheetId="4" r:id="rId6"/>
    <sheet state="visible" name="Product Goal" sheetId="5" r:id="rId7"/>
    <sheet state="visible" name="Product Glossary" sheetId="6" r:id="rId8"/>
    <sheet state="visible" name="Sprint Goals" sheetId="7" r:id="rId9"/>
    <sheet state="visible" name="Velocity Tracking" sheetId="8" r:id="rId10"/>
    <sheet state="visible" name="Velocity Chart" sheetId="9" r:id="rId11"/>
    <sheet state="visible" name="Mid-Project Release plan" sheetId="10" r:id="rId12"/>
    <sheet state="visible" name="Mid Burndown Chart" sheetId="11" r:id="rId13"/>
    <sheet state="visible" name="Final Project Release plan" sheetId="12" r:id="rId14"/>
    <sheet state="visible" name="Final Burndown Chart" sheetId="13" r:id="rId15"/>
    <sheet state="visible" name="Definition of Done" sheetId="14" r:id="rId16"/>
    <sheet state="visible" name="Documentation" sheetId="15" r:id="rId17"/>
    <sheet state="visible" name="Bill of Materials" sheetId="16" r:id="rId18"/>
    <sheet state="visible" name="Planning Poker" sheetId="17" r:id="rId19"/>
  </sheets>
  <definedNames/>
  <calcPr/>
</workbook>
</file>

<file path=xl/sharedStrings.xml><?xml version="1.0" encoding="utf-8"?>
<sst xmlns="http://schemas.openxmlformats.org/spreadsheetml/2006/main" count="612" uniqueCount="448">
  <si>
    <t>Project Name</t>
  </si>
  <si>
    <t>RTDIP Timeseries Forecasting</t>
  </si>
  <si>
    <t>Online team meeting</t>
  </si>
  <si>
    <t>https://fau.zoom-x.de/j/65502405196?pwd=8H73lyixQfqKrnO8Eb47kawnuKCnGp.1</t>
  </si>
  <si>
    <t>Production system (if any)</t>
  </si>
  <si>
    <t>Test system (if any)</t>
  </si>
  <si>
    <t>GitHub repository</t>
  </si>
  <si>
    <t>https://github.com/amosproj/amos2025ws03-rtdip-timeseries-forecasting</t>
  </si>
  <si>
    <t>GitHub feature board</t>
  </si>
  <si>
    <t>https://github.com/orgs/amosproj/projects/91/</t>
  </si>
  <si>
    <t>GitHub imp-squared backlog</t>
  </si>
  <si>
    <t>https://github.com/orgs/amosproj/projects/96</t>
  </si>
  <si>
    <t>Team T-shirt (white)</t>
  </si>
  <si>
    <t>https://www.shirtinator.de/s/QWcDXTKGS72ISnrRNZq1hg</t>
  </si>
  <si>
    <t>Team T-shirt (black)</t>
  </si>
  <si>
    <t>https://www.shirtinator.de/s/0yx3duRjSzW-5hP32KmZ1w</t>
  </si>
  <si>
    <t>Additional materials</t>
  </si>
  <si>
    <t>https://discord.gg/KJXGmjcs</t>
  </si>
  <si>
    <t>Team maling list</t>
  </si>
  <si>
    <t>oss-amos-projX@lists.fau.de</t>
  </si>
  <si>
    <t>Happines Index App</t>
  </si>
  <si>
    <t>https://happy-amos.appspot.com/Courses</t>
  </si>
  <si>
    <t>Planning Poker</t>
  </si>
  <si>
    <t>https://planningpokeronline.com/DMhnF5cOAk9ffF5jsRf2/</t>
  </si>
  <si>
    <t>Last Name</t>
  </si>
  <si>
    <t>First Name</t>
  </si>
  <si>
    <t>GitHub User Name</t>
  </si>
  <si>
    <t>Email Address</t>
  </si>
  <si>
    <t>Böhm</t>
  </si>
  <si>
    <t>Luca</t>
  </si>
  <si>
    <t>qw3rat</t>
  </si>
  <si>
    <t>luca.boehm@fau.de</t>
  </si>
  <si>
    <t>Meusling</t>
  </si>
  <si>
    <t>Patrick</t>
  </si>
  <si>
    <t>SirGankalot</t>
  </si>
  <si>
    <t>meusling@campus.tu-berlin.de</t>
  </si>
  <si>
    <t>Arifin</t>
  </si>
  <si>
    <t>Hafidz</t>
  </si>
  <si>
    <t>zenzeii</t>
  </si>
  <si>
    <t>h.arifin@campus.tu-berlin.de</t>
  </si>
  <si>
    <t>Huy</t>
  </si>
  <si>
    <t>Christoph</t>
  </si>
  <si>
    <t>Perimora</t>
  </si>
  <si>
    <t>christoph.huy@campus.tu-berlin.de</t>
  </si>
  <si>
    <t>Selbig</t>
  </si>
  <si>
    <t>Simon</t>
  </si>
  <si>
    <t>simonselbig</t>
  </si>
  <si>
    <t>simon.selbig@gmx.de</t>
  </si>
  <si>
    <t>Haseeb</t>
  </si>
  <si>
    <t>Abdul</t>
  </si>
  <si>
    <t>abdulhaseeb-se</t>
  </si>
  <si>
    <t>abdul.ah.haseeb@fau.de</t>
  </si>
  <si>
    <t>Pohnke</t>
  </si>
  <si>
    <t>Hannes</t>
  </si>
  <si>
    <t>hpfref</t>
  </si>
  <si>
    <t>hannes.j.pohnke@gmail.com</t>
  </si>
  <si>
    <t>Jokiel</t>
  </si>
  <si>
    <t>Rene</t>
  </si>
  <si>
    <t>BelmontR</t>
  </si>
  <si>
    <t>rene.jokiel@fau.de</t>
  </si>
  <si>
    <t>Khabouze</t>
  </si>
  <si>
    <t>Mehdi</t>
  </si>
  <si>
    <t>Mehdi-kbz</t>
  </si>
  <si>
    <t>khabouze@campus.tu-berlin.de</t>
  </si>
  <si>
    <t>Product Owner</t>
  </si>
  <si>
    <t>#</t>
  </si>
  <si>
    <t>Meeting Day</t>
  </si>
  <si>
    <t>Review</t>
  </si>
  <si>
    <t>Planning</t>
  </si>
  <si>
    <t>Software Developer</t>
  </si>
  <si>
    <t>Release Manager</t>
  </si>
  <si>
    <t>Scrum Master</t>
  </si>
  <si>
    <t>Comment</t>
  </si>
  <si>
    <t>Patrick Meusling</t>
  </si>
  <si>
    <t>Hafidz Arifin</t>
  </si>
  <si>
    <t>Everyone else</t>
  </si>
  <si>
    <t>N/A</t>
  </si>
  <si>
    <t>Mehdi Khabouze</t>
  </si>
  <si>
    <t>Rene Jokiel</t>
  </si>
  <si>
    <t>Abdul Haseeb</t>
  </si>
  <si>
    <t>Hannes Pohnke</t>
  </si>
  <si>
    <t>Simon Selbig</t>
  </si>
  <si>
    <t>Mid-term due</t>
  </si>
  <si>
    <t>Christoph Huy</t>
  </si>
  <si>
    <t>Demo day!</t>
  </si>
  <si>
    <t>Retrospective</t>
  </si>
  <si>
    <t>Product owners, software developers, and Scurm Master are set and ideally don't change over time; the critical part is the Release Manager role you need to define here</t>
  </si>
  <si>
    <t>Goals</t>
  </si>
  <si>
    <t>Aquire new skills</t>
  </si>
  <si>
    <t>Produce a functioning and valuable product (a 1.0)</t>
  </si>
  <si>
    <t>Meeting norms</t>
  </si>
  <si>
    <t>We respect the opinions of others and we show up on time</t>
  </si>
  <si>
    <t>Summary of Partner Meeting required</t>
  </si>
  <si>
    <t>Working norms</t>
  </si>
  <si>
    <t>Clean, testable code with clear commit messages, code comments</t>
  </si>
  <si>
    <t>We respect other people's work</t>
  </si>
  <si>
    <t>Coordination norms</t>
  </si>
  <si>
    <t xml:space="preserve">Seperate branches for issues, second person review </t>
  </si>
  <si>
    <t>We balance workload among the team</t>
  </si>
  <si>
    <t>Communication norms</t>
  </si>
  <si>
    <t>Daily check the corresponding channels (discord)</t>
  </si>
  <si>
    <t>We communicate constructively, make sure to communicate possible problems (absence, etc.)</t>
  </si>
  <si>
    <t>Consideration norms</t>
  </si>
  <si>
    <t>We discuss issues openly</t>
  </si>
  <si>
    <t>We vote in case we can't reach a consensus</t>
  </si>
  <si>
    <t>Cont. improvement norms</t>
  </si>
  <si>
    <t>We encourage critique and improvement efforts</t>
  </si>
  <si>
    <t>Encourage reaching out for help (use the strength/skills of others)</t>
  </si>
  <si>
    <t>Rewards</t>
  </si>
  <si>
    <t>We treat ourselfes to a sweet of choice for good work</t>
  </si>
  <si>
    <t>Sanctions</t>
  </si>
  <si>
    <t>Push Ups (amount decided on the case)</t>
  </si>
  <si>
    <t>Signatures</t>
  </si>
  <si>
    <t>Luca Böhm</t>
  </si>
  <si>
    <t>Product owner</t>
  </si>
  <si>
    <t>Software developer</t>
  </si>
  <si>
    <t>Product Vision</t>
  </si>
  <si>
    <t>Project Mission</t>
  </si>
  <si>
    <t>To empower organizations with open-source, scalable, and transparent forecasting capabilities that enable data-driven decision-making across industries.
By extending RTDIP with advanced forecasting and anomaly detection components as well as sector specific datasets, we envision a future where time series insights such as trends, seasonality, and predictive patterns are seamlessly integrated into real-time data pipelines.
This will allow businesses to understand historical data, anticipate future behavior, optimize operations, and improve efficiency using accessible, community-driven, and production-ready forecasting tools.</t>
  </si>
  <si>
    <t>To design, develop, and contribute open-source forecasting components for the RTDIP platform that enable trend analysis, anomaly detection, and predictive modeling on time series data.
Our mission within this project is to research and implement forecasting techniques using Python and Apache Spark, validate and enricht them with real-world datasets, and ensure they meet RTDIP’s modular, tested, and well-documented standards.
By doing so, we will enhance RTDIP’s functionality and provide the open-source community and industry users such as Shell with reliable, scalable forecasting capabilities that integrate seamlessly into existing data pipelines.</t>
  </si>
  <si>
    <t>Term</t>
  </si>
  <si>
    <t>Definition</t>
  </si>
  <si>
    <t>RTDIP (Real-Time Data Ingestion Platform)</t>
  </si>
  <si>
    <t>An open-source project under the Linux Foundation designed to simplify the ingestion, transformation, and storage of data from various sources using scalable cloud technologies.</t>
  </si>
  <si>
    <t>Forecasting</t>
  </si>
  <si>
    <t>The process of predicting future values or trends based on historical time series data.</t>
  </si>
  <si>
    <t>Time Series Data</t>
  </si>
  <si>
    <t>Data collected over time at regular intervals, often used to analyze patterns such as trends and seasonality.</t>
  </si>
  <si>
    <t>Apache Spark</t>
  </si>
  <si>
    <t>An open-source distributed computing system that provides fast data processing for large-scale datasets.</t>
  </si>
  <si>
    <t>PySpark</t>
  </si>
  <si>
    <t>The Python API for Apache Spark, allowing developers to write Spark applications using Python.</t>
  </si>
  <si>
    <t>Delta Lake</t>
  </si>
  <si>
    <t>A storage layer that brings reliability, consistency, and performance to data lakes by supporting ACID transactions and schema enforcement.</t>
  </si>
  <si>
    <t>Anomaly Detection</t>
  </si>
  <si>
    <t>The identification of unusual patterns or outliers in data that do not conform to expected behavior.</t>
  </si>
  <si>
    <t>Predictive Modeling</t>
  </si>
  <si>
    <t>A statistical or machine learning approach that uses historical data to predict future outcomes.</t>
  </si>
  <si>
    <t>Time Series Decomposition</t>
  </si>
  <si>
    <t>The process of breaking down a time series into its core components such as trend, seasonality, and residuals.</t>
  </si>
  <si>
    <t>ETL (Extract, Transform, Load)</t>
  </si>
  <si>
    <t>A data pipeline process that extracts data from sources, transforms it into a suitable format, and loads it into a storage system.</t>
  </si>
  <si>
    <t>Open Source</t>
  </si>
  <si>
    <t>Software that is freely available to use, modify, and distribute, typically developed collaboratively by a community.</t>
  </si>
  <si>
    <t>Linux Foundation</t>
  </si>
  <si>
    <t>A nonprofit organization that supports open-source software projects and fosters collaboration across industries.</t>
  </si>
  <si>
    <t>EasyCLA (Easy Contributor License Agreement)</t>
  </si>
  <si>
    <t>A system used by the Linux Foundation to manage contributor license agreements, ensuring legal compliance for open-source contributions.</t>
  </si>
  <si>
    <t>Modular Architecture</t>
  </si>
  <si>
    <t>A software design principle that divides a system into separate, interchangeable components that can be developed and maintained independently.</t>
  </si>
  <si>
    <t>Unit Testing</t>
  </si>
  <si>
    <t>The practice of testing individual units or components of software to ensure they work as intended.</t>
  </si>
  <si>
    <t>Documentation</t>
  </si>
  <si>
    <t>Written descriptions and guides that explain the design, usage, and functionality of a software system.</t>
  </si>
  <si>
    <t>Data Pipeline</t>
  </si>
  <si>
    <t>A set of processes that move, transform, and store data from one system to another in a structured and automated way.</t>
  </si>
  <si>
    <t>Scalability</t>
  </si>
  <si>
    <t>The ability of a system to handle increasing amounts of work or data by adding resources.</t>
  </si>
  <si>
    <t>Contribution Guidelines</t>
  </si>
  <si>
    <t>A set of rules and best practices that contributors must follow to ensure consistency and quality in open-source projects.</t>
  </si>
  <si>
    <t>Sprint #</t>
  </si>
  <si>
    <t>Sprint goal</t>
  </si>
  <si>
    <t>None</t>
  </si>
  <si>
    <t>Optional</t>
  </si>
  <si>
    <t>Establish a working foundation for the forecasting pipeline</t>
  </si>
  <si>
    <t>Integrate the pipeline into the existing software</t>
  </si>
  <si>
    <t>Advance the pipeline</t>
  </si>
  <si>
    <t>Add more Datasets to the pipeline</t>
  </si>
  <si>
    <t>Testing and Analysing the new Datasets</t>
  </si>
  <si>
    <t xml:space="preserve">Adding new and diffrent models to the pipeline </t>
  </si>
  <si>
    <t>Testing and Analysing the new Models</t>
  </si>
  <si>
    <t>Finalize the Product</t>
  </si>
  <si>
    <t>Finalize for Demo day</t>
  </si>
  <si>
    <t xml:space="preserve">Merging the product with the partner, coordinating the merge (they said this might take a bit of time) </t>
  </si>
  <si>
    <t>Backup Sprint</t>
  </si>
  <si>
    <t>Story Points Realized</t>
  </si>
  <si>
    <t>PLEASE CREATE THE VELOCITY CHART ON A NEW TAB USING THE DATA FROM THIS TAB</t>
  </si>
  <si>
    <t>Sprint</t>
  </si>
  <si>
    <t>Goal</t>
  </si>
  <si>
    <t>Feature Name</t>
  </si>
  <si>
    <t>Est. size</t>
  </si>
  <si>
    <t>Est. remaining</t>
  </si>
  <si>
    <t>Real size</t>
  </si>
  <si>
    <t>Real remaining</t>
  </si>
  <si>
    <t>Release</t>
  </si>
  <si>
    <t>Total</t>
  </si>
  <si>
    <t>Sprints</t>
  </si>
  <si>
    <t>Estimated burn-down</t>
  </si>
  <si>
    <t>Real burn-down</t>
  </si>
  <si>
    <t>Features</t>
  </si>
  <si>
    <t>Run the software on your own machine</t>
  </si>
  <si>
    <t>Understanding the rtdip software</t>
  </si>
  <si>
    <t>Software Architecture</t>
  </si>
  <si>
    <t>Find open source time series datasets</t>
  </si>
  <si>
    <t>Initialize software bill of materials</t>
  </si>
  <si>
    <t>Research about time series forecasting fundamentals</t>
  </si>
  <si>
    <t>Research Possible Models Useful for Shell Dataset</t>
  </si>
  <si>
    <t>Update our Forked Repository with Latest RTDIP Release</t>
  </si>
  <si>
    <t>Prepare and Demo Project Build Process</t>
  </si>
  <si>
    <t>Perform Data Exploration on Shell Dataset</t>
  </si>
  <si>
    <t>Getting to Know HPC of AMOS</t>
  </si>
  <si>
    <t>Dropped from Backlog</t>
  </si>
  <si>
    <t>Perform Data Exploration on Opensource Dataset 1</t>
  </si>
  <si>
    <t>Preprocess Shell Dataset</t>
  </si>
  <si>
    <t>Implementing a basic Model pipeline</t>
  </si>
  <si>
    <t>Research Possible Models Userful fo Opensource Dataset</t>
  </si>
  <si>
    <t>CI/CD Pipeline fail bug</t>
  </si>
  <si>
    <t>Choosing Models, Datasets, Error Measure Metrics</t>
  </si>
  <si>
    <t>Create Build Process Video</t>
  </si>
  <si>
    <t>Model Training and Evaluation with Shell Dataset</t>
  </si>
  <si>
    <t>Visualization of Results</t>
  </si>
  <si>
    <t>Preprocess Opensource Dataset 1</t>
  </si>
  <si>
    <t>PO Homework</t>
  </si>
  <si>
    <t>Model Deployment Pipeline into RTDIP</t>
  </si>
  <si>
    <t>User/Design/Build Documentation</t>
  </si>
  <si>
    <t>Repository Structure Refactor</t>
  </si>
  <si>
    <t>Update Software Architecture</t>
  </si>
  <si>
    <t>Set Up Unified Development Environment</t>
  </si>
  <si>
    <t>Collect and Document Customer Feedback on Project Progress</t>
  </si>
  <si>
    <t>Preprocess Opensource SCADA</t>
  </si>
  <si>
    <t>PLEASE CREATE THE BURNDOWN CHART ON A NEW TAB USING THE DATA FROM THIS TAB</t>
  </si>
  <si>
    <t>Different Methods to Improve Forecast Accuracy</t>
  </si>
  <si>
    <t>Customer Feedback and Adjustments</t>
  </si>
  <si>
    <t>Improving Forecast Accuracy</t>
  </si>
  <si>
    <t xml:space="preserve">Smaller features for more/diffrent preprocessing etc. </t>
  </si>
  <si>
    <t>Demo Day Preparation</t>
  </si>
  <si>
    <t>Finish the Project</t>
  </si>
  <si>
    <t>Adjust and Fix CI/CD Pipeline</t>
  </si>
  <si>
    <t>Model Optimization and Improvement</t>
  </si>
  <si>
    <t>Implementation of Time Series Decomposition</t>
  </si>
  <si>
    <t>Implementation of Anomaly Detection</t>
  </si>
  <si>
    <t>Model Training and Evaluation of Dataset SCADA</t>
  </si>
  <si>
    <t>Perform Data Exploration additional Opensource Dataset</t>
  </si>
  <si>
    <t>Implement RTDIP Ingestion</t>
  </si>
  <si>
    <t>Restructure and Refactor Wiki</t>
  </si>
  <si>
    <t>Standardize Visualization</t>
  </si>
  <si>
    <t>Model Optimization and Improvement for Timeseries Forecasting</t>
  </si>
  <si>
    <t>Optimization and Improvement of Anomaly Detection Approach</t>
  </si>
  <si>
    <t>Timeseries Forecasting Improvement with Other Models (Person 1)</t>
  </si>
  <si>
    <t>Integrate Timeseries Forecasting Results Visualization into the SDK</t>
  </si>
  <si>
    <t>Apply Timeseries Decomposition on shell Dataset</t>
  </si>
  <si>
    <t>Timeseries Forecasting Improvement with Other Models (Person 2)</t>
  </si>
  <si>
    <t>Refactor Components for Spark-Compatible API</t>
  </si>
  <si>
    <t>Document previous features in the software architecture</t>
  </si>
  <si>
    <t>Adjusting previous features to base enviroment</t>
  </si>
  <si>
    <t>Base Enviroment</t>
  </si>
  <si>
    <t>Add Visualiualization Component for Anomaly Detection</t>
  </si>
  <si>
    <t>Not Completed|Special Case</t>
  </si>
  <si>
    <t>SCADA Decomposition</t>
  </si>
  <si>
    <t>Refactor Wiki</t>
  </si>
  <si>
    <t>Add Visualization Component for Timeseries Decomposition</t>
  </si>
  <si>
    <t>Preprocessing of 3W_Dataset</t>
  </si>
  <si>
    <t>Assesment of Robustness and long time predictions</t>
  </si>
  <si>
    <t>Finish the Product</t>
  </si>
  <si>
    <t>Adjusting our new approaches based on Customer Feedback</t>
  </si>
  <si>
    <t xml:space="preserve">Final Refactoring </t>
  </si>
  <si>
    <t>Testing our own and new preprocessing approaches</t>
  </si>
  <si>
    <t>Testing our own and new postprocessing approaches</t>
  </si>
  <si>
    <t>Create demo day slide</t>
  </si>
  <si>
    <t>Create demo video</t>
  </si>
  <si>
    <t>Finalize user, (technical) design, and build/deploy documentation</t>
  </si>
  <si>
    <t>Final Refactoring and Cleaning Up Repository</t>
  </si>
  <si>
    <t>Create Project Report</t>
  </si>
  <si>
    <t>Tasks related to Industry Partner</t>
  </si>
  <si>
    <t>Merging the code with main repo of partner</t>
  </si>
  <si>
    <t>Final Bug Fixes</t>
  </si>
  <si>
    <t>Feature Definition of Done</t>
  </si>
  <si>
    <t>Sprint Release Definition of Done</t>
  </si>
  <si>
    <t>Project Release Definition of Done</t>
  </si>
  <si>
    <t>Acceptance criteria are met.</t>
  </si>
  <si>
    <t>Work are pushed to the Github repository.</t>
  </si>
  <si>
    <t>Create a branch for each backlog items (coding)</t>
  </si>
  <si>
    <t>A pull request is created for each related branch.</t>
  </si>
  <si>
    <t>The work products in the pull requests are reviewed.</t>
  </si>
  <si>
    <t>The corresponding branches are merged and closed.</t>
  </si>
  <si>
    <t>The bill of materials section of the planning documents is updated.</t>
  </si>
  <si>
    <t>Work needs to be documented in the corresponding wiki section</t>
  </si>
  <si>
    <t>For new features unit test have to be written.</t>
  </si>
  <si>
    <t>Update our forked repository with the latest RTDIP release.</t>
  </si>
  <si>
    <t>If the task involves coding, the implementation is integrated into the RTDIP framework and verified to function correctly within it.</t>
  </si>
  <si>
    <t>All unit tests must pass successfully in the continuous integration (CI) pipeline.</t>
  </si>
  <si>
    <t>All assignees must communicate and coordinate with each other to complete the task.</t>
  </si>
  <si>
    <t>Release candidates with a working and meaningful update to the previous sprint is tagged.</t>
  </si>
  <si>
    <t>Previously established features must continue to work.</t>
  </si>
  <si>
    <t>The RTDIP forecasting components can be successfully built and deployed within the RTDIP environment.</t>
  </si>
  <si>
    <t>All automated tests and validation checks for the developed components pass without errors.</t>
  </si>
  <si>
    <t>The implemented forecasting features have been tested end-to-end and verified through a basic user workflow.</t>
  </si>
  <si>
    <t>Developer documentation is complete, clearly describing the architecture, setup, and contribution process for RTDIP.</t>
  </si>
  <si>
    <t>User documentation (usage examples, configuration steps, expected outputs) is finalized and up to date.</t>
  </si>
  <si>
    <t>The final release has been reviewed and approved by all project team members and the industry partner (Shell).</t>
  </si>
  <si>
    <t>Type</t>
  </si>
  <si>
    <t>Link / reference</t>
  </si>
  <si>
    <t>User Documentation</t>
  </si>
  <si>
    <t>https://github.com/amosproj/amos2025ws03-rtdip-timeseries-forecasting/wiki/Documentation#user-documentation</t>
  </si>
  <si>
    <t>Design Documentation</t>
  </si>
  <si>
    <t>https://github.com/amosproj/amos2025ws03-rtdip-timeseries-forecasting/wiki/Documentation#design-documentation</t>
  </si>
  <si>
    <t>Build &amp; Deploy Documentation</t>
  </si>
  <si>
    <t>https://github.com/amosproj/amos2025ws03-rtdip-timeseries-forecasting/wiki/Documentation#build-and-deploy-documentation</t>
  </si>
  <si>
    <t>Project:</t>
  </si>
  <si>
    <t>RTIP - Forecasting and Anomaly Detection</t>
  </si>
  <si>
    <t>System Components</t>
  </si>
  <si>
    <t>First Level Dependencies and Runtimes</t>
  </si>
  <si>
    <t>Tools</t>
  </si>
  <si>
    <t>Version</t>
  </si>
  <si>
    <t>0.2.0 (Sprint05)</t>
  </si>
  <si>
    <t>Date</t>
  </si>
  <si>
    <t>28.10.2025</t>
  </si>
  <si>
    <t>Last updated</t>
  </si>
  <si>
    <t>25.11.2025</t>
  </si>
  <si>
    <t>Name</t>
  </si>
  <si>
    <t>Category</t>
  </si>
  <si>
    <t>Source</t>
  </si>
  <si>
    <t>Description</t>
  </si>
  <si>
    <t>License</t>
  </si>
  <si>
    <t>Vendor</t>
  </si>
  <si>
    <t>Environment</t>
  </si>
  <si>
    <t>Development</t>
  </si>
  <si>
    <t>ML Component</t>
  </si>
  <si>
    <t>src/sdk/python/rtdip_sdk/pipelines/forecasting</t>
  </si>
  <si>
    <t>Train / Prediction with Forecasting Models.</t>
  </si>
  <si>
    <t>Python</t>
  </si>
  <si>
    <t>Runtime</t>
  </si>
  <si>
    <t>3.9 &lt; 3.12.11</t>
  </si>
  <si>
    <t>PSF</t>
  </si>
  <si>
    <t>Python Software Foundation</t>
  </si>
  <si>
    <t>Core runtime for all SDK and ML components.</t>
  </si>
  <si>
    <t>git</t>
  </si>
  <si>
    <t>Development / Publish</t>
  </si>
  <si>
    <t>2.43.0</t>
  </si>
  <si>
    <t>Distributed version control system used for source code management and collaborative development.</t>
  </si>
  <si>
    <t>Authors</t>
  </si>
  <si>
    <t>Transformer</t>
  </si>
  <si>
    <t>ML Pre-Processing</t>
  </si>
  <si>
    <t>src/sdk/python/rtdip_sdk/pipelines/transformers/spark/machine_learning</t>
  </si>
  <si>
    <t>Data / Feature pre-processing for ML components.</t>
  </si>
  <si>
    <t>OpenJDK</t>
  </si>
  <si>
    <t>11.0.29</t>
  </si>
  <si>
    <t>GPL v2 + Classpath Exception</t>
  </si>
  <si>
    <t>OpenJDK Community</t>
  </si>
  <si>
    <t>Java Virtual Machine required for Apache Spark and Delta Lake.</t>
  </si>
  <si>
    <t>VS Code</t>
  </si>
  <si>
    <t>1.105.1</t>
  </si>
  <si>
    <t>Integrated development environment used for coding, debugging, documentation editing, and Git integration.</t>
  </si>
  <si>
    <t>Data Manipulator</t>
  </si>
  <si>
    <t>Data Quality</t>
  </si>
  <si>
    <t>src/sdk/python/rtdip_sdk/pipelines/data_quality/data_manipulation</t>
  </si>
  <si>
    <t>Alters data to ensure data quality.</t>
  </si>
  <si>
    <t>Apache Spark (PySpark)</t>
  </si>
  <si>
    <t>3.5.5</t>
  </si>
  <si>
    <t>Apache-2.0</t>
  </si>
  <si>
    <t>Apache Software Foundation</t>
  </si>
  <si>
    <t>Distributed compute engine for ETL, data quality and forecasting pipelines.</t>
  </si>
  <si>
    <t>Conda</t>
  </si>
  <si>
    <t xml:space="preserve">Development / Build </t>
  </si>
  <si>
    <t>25.5.1</t>
  </si>
  <si>
    <t>Environment and package management system ensuring reproducible builds and dependency control.</t>
  </si>
  <si>
    <t>Monitor</t>
  </si>
  <si>
    <t>src/sdk/python/rtdip_sdk/pipelines/data_quality/monitoring</t>
  </si>
  <si>
    <t>Monitors quality of time-series data.</t>
  </si>
  <si>
    <t>Delta Lake (delta-spark)</t>
  </si>
  <si>
    <t>3.0.0</t>
  </si>
  <si>
    <t>Linux Foundation / Databricks Open Source</t>
  </si>
  <si>
    <t>Transactional storage layer enabling ACID and time-travel on Parquet data.</t>
  </si>
  <si>
    <t>Data Extraction</t>
  </si>
  <si>
    <t>src/sdk/python/rtdip_sdk/pipelines/sources</t>
  </si>
  <si>
    <t>Ingest data source.</t>
  </si>
  <si>
    <t>pandas</t>
  </si>
  <si>
    <t>Library</t>
  </si>
  <si>
    <t>2.3.3</t>
  </si>
  <si>
    <t>BSD-3-Clause</t>
  </si>
  <si>
    <t>PyData / NumFOCUS</t>
  </si>
  <si>
    <t>Core data-processing library providing DataFrame operations and ETL utilities.</t>
  </si>
  <si>
    <t>Delta Storage</t>
  </si>
  <si>
    <t>Data Storage</t>
  </si>
  <si>
    <t>external (delta-spark)</t>
  </si>
  <si>
    <t>Provides raw time-series data for ingestion and processing.</t>
  </si>
  <si>
    <t>polars</t>
  </si>
  <si>
    <t>0.20.31</t>
  </si>
  <si>
    <t>MIT</t>
  </si>
  <si>
    <t>Polars Contributors</t>
  </si>
  <si>
    <t>Fast DataFrame engine written in Rust for high-performance data manipulation.</t>
  </si>
  <si>
    <t>pyarrow</t>
  </si>
  <si>
    <t>15.0.2</t>
  </si>
  <si>
    <t>Columnar data access and Parquet I/O layer for Spark and Delta components.</t>
  </si>
  <si>
    <t>scikit-learn</t>
  </si>
  <si>
    <t>1.7.2</t>
  </si>
  <si>
    <t>Scikit-learn Developers / NumFOCUS</t>
  </si>
  <si>
    <t>Machine-learning algorithms and preprocessing utilities for forecasting and modeling.</t>
  </si>
  <si>
    <t>Upcomming</t>
  </si>
  <si>
    <t>statsmodels</t>
  </si>
  <si>
    <t>0.14.5</t>
  </si>
  <si>
    <t>Statsmodels Developers</t>
  </si>
  <si>
    <t>Statistical modeling and time-series forecasting framework (e.g., SARIMA).</t>
  </si>
  <si>
    <t>TBA</t>
  </si>
  <si>
    <t>Detects anomalies in time-series predictions.</t>
  </si>
  <si>
    <t>pmdarima</t>
  </si>
  <si>
    <t>2.0.4</t>
  </si>
  <si>
    <t>Alkha Management Group</t>
  </si>
  <si>
    <t>Automated ARIMA model selection and time-series forecasting.</t>
  </si>
  <si>
    <t>delta-spark</t>
  </si>
  <si>
    <t>Linux Foundation / Databricks</t>
  </si>
  <si>
    <t>Delta Lake Python API for ACID table management and versioned data.</t>
  </si>
  <si>
    <t>ML Artifacts</t>
  </si>
  <si>
    <t>databricks-sql-connector</t>
  </si>
  <si>
    <t>3.7.1</t>
  </si>
  <si>
    <t>Databricks Inc.</t>
  </si>
  <si>
    <t>JDBC-style SQL connector for querying Delta and Databricks tables.</t>
  </si>
  <si>
    <t>fastapi</t>
  </si>
  <si>
    <t>0.119.0</t>
  </si>
  <si>
    <t>Sebastián Ramírez</t>
  </si>
  <si>
    <t>High-performance web framework for building REST APIs and model endpoints.</t>
  </si>
  <si>
    <t>uvicorn</t>
  </si>
  <si>
    <t>0.37.0</t>
  </si>
  <si>
    <t>Encode OSS</t>
  </si>
  <si>
    <t>ASGI server providing runtime execution for FastAPI endpoints.</t>
  </si>
  <si>
    <t>azure-core / azure-identity / azure-storage-blob</t>
  </si>
  <si>
    <t>1.35 +</t>
  </si>
  <si>
    <t>Microsoft Azure SDK</t>
  </si>
  <si>
    <t>Core, authentication and blob-storage SDKs for Azure integration.</t>
  </si>
  <si>
    <t>pytest / pytest-cov</t>
  </si>
  <si>
    <t>7.4 / 4.1</t>
  </si>
  <si>
    <t>Pytest Community</t>
  </si>
  <si>
    <t>Unit and integration testing framework with coverage support.</t>
  </si>
  <si>
    <t>black / isort / pylint</t>
  </si>
  <si>
    <t>25.1 / 5.13 / 2.17</t>
  </si>
  <si>
    <t>MIT / BSD-3</t>
  </si>
  <si>
    <t>Python Software Foundation / PyCQA</t>
  </si>
  <si>
    <t>Code formatting and linting for CI quality assurance.</t>
  </si>
  <si>
    <t>mkdocs / mkdocs-material / mkdocstrings</t>
  </si>
  <si>
    <t>1.6 / 9.5 / 0.25</t>
  </si>
  <si>
    <t>MkDocs Community</t>
  </si>
  <si>
    <t>Documentation generation system for SDK and forecasting components.</t>
  </si>
  <si>
    <t>xgboost</t>
  </si>
  <si>
    <t>2.1.4</t>
  </si>
  <si>
    <t>Hyunsu Cho / Jiaming Yuan / XGBoost Dev Team</t>
  </si>
  <si>
    <t>High-performance gradient boosting library for regression, classification und Ranking-Tasks</t>
  </si>
  <si>
    <t>Value</t>
  </si>
  <si>
    <t>No size</t>
  </si>
  <si>
    <t>Trivial size</t>
  </si>
  <si>
    <t>Small size</t>
  </si>
  <si>
    <t>Medium size</t>
  </si>
  <si>
    <t>Large size</t>
  </si>
  <si>
    <t>Very large size</t>
  </si>
  <si>
    <t>Too large (size)</t>
  </si>
  <si>
    <t>How to play planning poker</t>
  </si>
  <si>
    <t>1. Everyone type their number into their value field, don't hit return yet</t>
  </si>
  <si>
    <t>2. Someone, perhaps a product owner, count down 3.. 2.. 1..</t>
  </si>
  <si>
    <t>3. Then, everyone hit return to submit their value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</si>
</sst>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quot;-&quot;mm&quot;-&quot;dd"/>
  </numFmts>
  <fonts count="25">
    <font>
      <sz val="10.0"/>
      <color rgb="FF000000"/>
      <name val="Arial"/>
    </font>
    <font>
      <b/>
      <name val="Arial"/>
    </font>
    <font>
      <name val="Arial"/>
    </font>
    <font>
      <u/>
      <color rgb="FF0000FF"/>
      <name val="Arial"/>
    </font>
    <font>
      <u/>
      <color rgb="FF1155CC"/>
      <name val="Arial"/>
    </font>
    <font>
      <u/>
      <color rgb="FF5AADF1"/>
      <name val="Arial"/>
    </font>
    <font>
      <u/>
      <color rgb="FF1155CC"/>
      <name val="Arial"/>
    </font>
    <font>
      <u/>
      <color rgb="FF1155CC"/>
      <name val="Arial"/>
    </font>
    <font>
      <u/>
      <color rgb="FF1155CC"/>
      <name val="Arial"/>
    </font>
    <font>
      <u/>
      <color rgb="FF1155CC"/>
      <name val="Arial"/>
    </font>
    <font>
      <b/>
      <color rgb="FF181A1B"/>
      <name val="Arial"/>
    </font>
    <font>
      <u/>
      <color rgb="FF0000FF"/>
      <name val="Arial"/>
    </font>
    <font/>
    <font>
      <b/>
    </font>
    <font>
      <color rgb="FF181A1B"/>
    </font>
    <font>
      <color rgb="FFFFFFFF"/>
      <name val="Arial"/>
    </font>
    <font>
      <color rgb="FF000000"/>
      <name val="Arial"/>
    </font>
    <font>
      <u/>
      <color rgb="FF0000FF"/>
    </font>
    <font>
      <b/>
      <sz val="11.0"/>
      <color rgb="FF000000"/>
      <name val="&quot;Aptos Narrow&quot;"/>
    </font>
    <font>
      <b/>
      <sz val="11.0"/>
      <color rgb="FF000000"/>
      <name val="Arial"/>
    </font>
    <font>
      <sz val="11.0"/>
      <color rgb="FF000000"/>
      <name val="&quot;Aptos Narrow&quot;"/>
    </font>
    <font>
      <sz val="11.0"/>
      <color rgb="FF000000"/>
      <name val="Arial"/>
    </font>
    <font>
      <i/>
      <sz val="11.0"/>
      <color rgb="FF000000"/>
      <name val="&quot;Aptos Narrow&quot;"/>
    </font>
    <font>
      <b/>
      <sz val="11.0"/>
    </font>
    <font>
      <b/>
      <sz val="24.0"/>
      <name val="Arial"/>
    </font>
  </fonts>
  <fills count="9">
    <fill>
      <patternFill patternType="none"/>
    </fill>
    <fill>
      <patternFill patternType="lightGray"/>
    </fill>
    <fill>
      <patternFill patternType="solid">
        <fgColor rgb="FFBDBDBD"/>
        <bgColor rgb="FFBDBDBD"/>
      </patternFill>
    </fill>
    <fill>
      <patternFill patternType="solid">
        <fgColor rgb="FFFFFFFF"/>
        <bgColor rgb="FFFFFFFF"/>
      </patternFill>
    </fill>
    <fill>
      <patternFill patternType="solid">
        <fgColor rgb="FFF3F3F3"/>
        <bgColor rgb="FFF3F3F3"/>
      </patternFill>
    </fill>
    <fill>
      <patternFill patternType="solid">
        <fgColor rgb="FFF4CCCC"/>
        <bgColor rgb="FFF4CCCC"/>
      </patternFill>
    </fill>
    <fill>
      <patternFill patternType="solid">
        <fgColor rgb="FFC9DAF8"/>
        <bgColor rgb="FFC9DAF8"/>
      </patternFill>
    </fill>
    <fill>
      <patternFill patternType="solid">
        <fgColor rgb="FFFFF2CC"/>
        <bgColor rgb="FFFFF2CC"/>
      </patternFill>
    </fill>
    <fill>
      <patternFill patternType="solid">
        <fgColor rgb="FFD9EAD3"/>
        <bgColor rgb="FFD9EAD3"/>
      </patternFill>
    </fill>
  </fills>
  <borders count="8">
    <border/>
    <border>
      <left style="thin">
        <color rgb="FF000000"/>
      </left>
      <right style="thin">
        <color rgb="FF000000"/>
      </right>
      <top style="thin">
        <color rgb="FF000000"/>
      </top>
      <bottom style="thin">
        <color rgb="FF000000"/>
      </bottom>
    </border>
    <border>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border>
    <border>
      <right style="thin">
        <color rgb="FF000000"/>
      </right>
    </border>
    <border>
      <top style="thin">
        <color rgb="FF000000"/>
      </top>
    </border>
  </borders>
  <cellStyleXfs count="1">
    <xf borderId="0" fillId="0" fontId="0" numFmtId="0" applyAlignment="1" applyFont="1"/>
  </cellStyleXfs>
  <cellXfs count="175">
    <xf borderId="0" fillId="0" fontId="0" numFmtId="0" xfId="0" applyAlignment="1" applyFont="1">
      <alignment readingOrder="0" shrinkToFit="0" vertical="bottom" wrapText="1"/>
    </xf>
    <xf borderId="0" fillId="2" fontId="1" numFmtId="0" xfId="0" applyAlignment="1" applyFill="1" applyFont="1">
      <alignment shrinkToFit="0" vertical="bottom" wrapText="1"/>
    </xf>
    <xf borderId="0" fillId="2" fontId="2" numFmtId="0" xfId="0" applyAlignment="1" applyFont="1">
      <alignment readingOrder="0" shrinkToFit="0" vertical="bottom" wrapText="1"/>
    </xf>
    <xf borderId="0" fillId="3" fontId="2" numFmtId="0" xfId="0" applyAlignment="1" applyFill="1" applyFont="1">
      <alignment shrinkToFit="0" vertical="bottom" wrapText="1"/>
    </xf>
    <xf borderId="0" fillId="4" fontId="1" numFmtId="0" xfId="0" applyAlignment="1" applyFill="1" applyFont="1">
      <alignment shrinkToFit="0" vertical="bottom" wrapText="1"/>
    </xf>
    <xf borderId="0" fillId="4" fontId="3" numFmtId="0" xfId="0" applyAlignment="1" applyFont="1">
      <alignment readingOrder="0" shrinkToFit="0" vertical="bottom" wrapText="1"/>
    </xf>
    <xf borderId="0" fillId="4" fontId="2" numFmtId="0" xfId="0" applyAlignment="1" applyFont="1">
      <alignment shrinkToFit="0" vertical="bottom" wrapText="1"/>
    </xf>
    <xf borderId="0" fillId="3" fontId="1" numFmtId="0" xfId="0" applyAlignment="1" applyFont="1">
      <alignment shrinkToFit="0" vertical="bottom" wrapText="1"/>
    </xf>
    <xf borderId="0" fillId="3" fontId="2" numFmtId="0" xfId="0" applyAlignment="1" applyFont="1">
      <alignment shrinkToFit="0" vertical="bottom" wrapText="1"/>
    </xf>
    <xf borderId="0" fillId="4" fontId="2" numFmtId="0" xfId="0" applyAlignment="1" applyFont="1">
      <alignment shrinkToFit="0" vertical="bottom" wrapText="1"/>
    </xf>
    <xf borderId="0" fillId="3" fontId="4" numFmtId="0" xfId="0" applyAlignment="1" applyFont="1">
      <alignment shrinkToFit="0" vertical="bottom" wrapText="1"/>
    </xf>
    <xf borderId="0" fillId="4" fontId="5" numFmtId="0" xfId="0" applyAlignment="1" applyFont="1">
      <alignment readingOrder="0" shrinkToFit="0" vertical="bottom" wrapText="1"/>
    </xf>
    <xf borderId="0" fillId="3" fontId="6" numFmtId="0" xfId="0" applyAlignment="1" applyFont="1">
      <alignment shrinkToFit="0" vertical="bottom" wrapText="1"/>
    </xf>
    <xf borderId="0" fillId="3" fontId="7" numFmtId="0" xfId="0" applyAlignment="1" applyFont="1">
      <alignment readingOrder="0" shrinkToFit="0" vertical="bottom" wrapText="1"/>
    </xf>
    <xf borderId="0" fillId="4" fontId="8" numFmtId="0" xfId="0" applyAlignment="1" applyFont="1">
      <alignment readingOrder="0" shrinkToFit="0" vertical="bottom" wrapText="1"/>
    </xf>
    <xf borderId="0" fillId="4" fontId="1" numFmtId="0" xfId="0" applyAlignment="1" applyFont="1">
      <alignment shrinkToFit="0" vertical="bottom" wrapText="1"/>
    </xf>
    <xf borderId="0" fillId="4" fontId="9" numFmtId="0" xfId="0" applyAlignment="1" applyFont="1">
      <alignment shrinkToFit="0" vertical="bottom" wrapText="1"/>
    </xf>
    <xf borderId="0" fillId="4" fontId="10" numFmtId="0" xfId="0" applyAlignment="1" applyFont="1">
      <alignment shrinkToFit="0" vertical="bottom" wrapText="1"/>
    </xf>
    <xf borderId="0" fillId="3" fontId="1" numFmtId="0" xfId="0" applyAlignment="1" applyFont="1">
      <alignment readingOrder="0" shrinkToFit="0" vertical="bottom" wrapText="1"/>
    </xf>
    <xf borderId="0" fillId="3" fontId="11" numFmtId="0" xfId="0" applyAlignment="1" applyFont="1">
      <alignment readingOrder="0" shrinkToFit="0" vertical="bottom" wrapText="1"/>
    </xf>
    <xf borderId="0" fillId="2" fontId="1" numFmtId="0" xfId="0" applyAlignment="1" applyFont="1">
      <alignment shrinkToFit="0" vertical="bottom" wrapText="0"/>
    </xf>
    <xf borderId="0" fillId="3" fontId="2" numFmtId="0" xfId="0" applyAlignment="1" applyFont="1">
      <alignment shrinkToFit="0" vertical="bottom" wrapText="0"/>
    </xf>
    <xf borderId="0" fillId="4" fontId="2" numFmtId="0" xfId="0" applyAlignment="1" applyFont="1">
      <alignment shrinkToFit="0" vertical="bottom" wrapText="0"/>
    </xf>
    <xf borderId="0" fillId="3" fontId="2" numFmtId="0" xfId="0" applyAlignment="1" applyFont="1">
      <alignment shrinkToFit="0" vertical="bottom" wrapText="0"/>
    </xf>
    <xf borderId="0" fillId="4" fontId="2" numFmtId="0" xfId="0" applyAlignment="1" applyFont="1">
      <alignment shrinkToFit="0" vertical="bottom" wrapText="0"/>
    </xf>
    <xf borderId="0" fillId="0" fontId="12" numFmtId="0" xfId="0" applyAlignment="1" applyFont="1">
      <alignment shrinkToFit="0" wrapText="0"/>
    </xf>
    <xf borderId="0" fillId="0" fontId="12" numFmtId="0" xfId="0" applyAlignment="1" applyFont="1">
      <alignment readingOrder="0" shrinkToFit="0" wrapText="0"/>
    </xf>
    <xf borderId="0" fillId="0" fontId="13" numFmtId="0" xfId="0" applyAlignment="1" applyFont="1">
      <alignment readingOrder="0" shrinkToFit="0" wrapText="0"/>
    </xf>
    <xf borderId="0" fillId="0" fontId="13" numFmtId="0" xfId="0" applyAlignment="1" applyFont="1">
      <alignment shrinkToFit="0" wrapText="0"/>
    </xf>
    <xf borderId="0" fillId="2" fontId="2" numFmtId="0" xfId="0" applyAlignment="1" applyFont="1">
      <alignment shrinkToFit="0" vertical="bottom" wrapText="1"/>
    </xf>
    <xf borderId="0" fillId="2" fontId="1" numFmtId="0" xfId="0" applyAlignment="1" applyFont="1">
      <alignment horizontal="center" shrinkToFit="0" vertical="bottom" wrapText="0"/>
    </xf>
    <xf borderId="0" fillId="2" fontId="2" numFmtId="0" xfId="0" applyAlignment="1" applyFont="1">
      <alignment shrinkToFit="0" vertical="bottom" wrapText="1"/>
    </xf>
    <xf borderId="0" fillId="2" fontId="1" numFmtId="0" xfId="0" applyAlignment="1" applyFont="1">
      <alignment horizontal="center" shrinkToFit="0" vertical="bottom" wrapText="0"/>
    </xf>
    <xf borderId="0" fillId="2" fontId="1" numFmtId="0" xfId="0" applyAlignment="1" applyFont="1">
      <alignment horizontal="center" shrinkToFit="0" vertical="bottom" wrapText="0"/>
    </xf>
    <xf borderId="0" fillId="3" fontId="2" numFmtId="0" xfId="0" applyAlignment="1" applyFont="1">
      <alignment horizontal="center" shrinkToFit="0" vertical="bottom" wrapText="0"/>
    </xf>
    <xf borderId="0" fillId="3" fontId="2" numFmtId="164" xfId="0" applyAlignment="1" applyFont="1" applyNumberFormat="1">
      <alignment horizontal="right" shrinkToFit="0" vertical="bottom" wrapText="0"/>
    </xf>
    <xf borderId="0" fillId="3" fontId="2" numFmtId="165" xfId="0" applyAlignment="1" applyFont="1" applyNumberFormat="1">
      <alignment shrinkToFit="0" vertical="bottom" wrapText="1"/>
    </xf>
    <xf borderId="0" fillId="4" fontId="2" numFmtId="0" xfId="0" applyAlignment="1" applyFont="1">
      <alignment horizontal="center" shrinkToFit="0" vertical="bottom" wrapText="0"/>
    </xf>
    <xf borderId="0" fillId="4" fontId="2" numFmtId="164" xfId="0" applyAlignment="1" applyFont="1" applyNumberFormat="1">
      <alignment horizontal="right" shrinkToFit="0" vertical="bottom" wrapText="0"/>
    </xf>
    <xf borderId="0" fillId="4" fontId="2" numFmtId="165" xfId="0" applyAlignment="1" applyFont="1" applyNumberFormat="1">
      <alignment shrinkToFit="0" vertical="bottom" wrapText="1"/>
    </xf>
    <xf borderId="0" fillId="0" fontId="12" numFmtId="164" xfId="0" applyAlignment="1" applyFont="1" applyNumberFormat="1">
      <alignment readingOrder="0" shrinkToFit="0" wrapText="1"/>
    </xf>
    <xf borderId="0" fillId="4" fontId="2" numFmtId="0" xfId="0" applyAlignment="1" applyFont="1">
      <alignment readingOrder="0" shrinkToFit="0" vertical="bottom" wrapText="0"/>
    </xf>
    <xf borderId="0" fillId="0" fontId="14" numFmtId="164" xfId="0" applyAlignment="1" applyFont="1" applyNumberFormat="1">
      <alignment readingOrder="0" shrinkToFit="0" wrapText="1"/>
    </xf>
    <xf borderId="0" fillId="4" fontId="2" numFmtId="164" xfId="0" applyAlignment="1" applyFont="1" applyNumberFormat="1">
      <alignment horizontal="right" readingOrder="0" shrinkToFit="0" vertical="bottom" wrapText="0"/>
    </xf>
    <xf borderId="0" fillId="0" fontId="12" numFmtId="0" xfId="0" applyAlignment="1" applyFont="1">
      <alignment readingOrder="0" shrinkToFit="0" wrapText="1"/>
    </xf>
    <xf borderId="0" fillId="3" fontId="1" numFmtId="0" xfId="0" applyAlignment="1" applyFont="1">
      <alignment shrinkToFit="0" vertical="bottom" wrapText="1"/>
    </xf>
    <xf borderId="0" fillId="3" fontId="2" numFmtId="0" xfId="0" applyAlignment="1" applyFont="1">
      <alignment shrinkToFit="0" vertical="bottom" wrapText="1"/>
    </xf>
    <xf borderId="0" fillId="4" fontId="2" numFmtId="0" xfId="0" applyAlignment="1" applyFont="1">
      <alignment shrinkToFit="0" vertical="bottom" wrapText="1"/>
    </xf>
    <xf borderId="0" fillId="3" fontId="2" numFmtId="0" xfId="0" applyAlignment="1" applyFont="1">
      <alignment shrinkToFit="0" vertical="bottom" wrapText="1"/>
    </xf>
    <xf borderId="0" fillId="3" fontId="2" numFmtId="0" xfId="0" applyAlignment="1" applyFont="1">
      <alignment readingOrder="0" shrinkToFit="0" vertical="bottom" wrapText="1"/>
    </xf>
    <xf borderId="0" fillId="3" fontId="1" numFmtId="0" xfId="0" applyAlignment="1" applyFont="1">
      <alignment shrinkToFit="0" vertical="bottom" wrapText="1"/>
    </xf>
    <xf borderId="0" fillId="4" fontId="2" numFmtId="0" xfId="0" applyAlignment="1" applyFont="1">
      <alignment readingOrder="0" shrinkToFit="0" vertical="bottom" wrapText="1"/>
    </xf>
    <xf borderId="0" fillId="2" fontId="13" numFmtId="0" xfId="0" applyAlignment="1" applyFont="1">
      <alignment readingOrder="0" shrinkToFit="0" wrapText="1"/>
    </xf>
    <xf borderId="0" fillId="3" fontId="12" numFmtId="0" xfId="0" applyAlignment="1" applyFont="1">
      <alignment shrinkToFit="0" wrapText="1"/>
    </xf>
    <xf borderId="0" fillId="3" fontId="12" numFmtId="0" xfId="0" applyAlignment="1" applyFont="1">
      <alignment readingOrder="0" shrinkToFit="0" wrapText="1"/>
    </xf>
    <xf borderId="0" fillId="4" fontId="2" numFmtId="0" xfId="0" applyAlignment="1" applyFont="1">
      <alignment readingOrder="0" shrinkToFit="0" vertical="top" wrapText="1"/>
    </xf>
    <xf borderId="0" fillId="4" fontId="2" numFmtId="0" xfId="0" applyAlignment="1" applyFont="1">
      <alignment readingOrder="0" shrinkToFit="0" vertical="top" wrapText="1"/>
    </xf>
    <xf borderId="0" fillId="0" fontId="13" numFmtId="0" xfId="0" applyAlignment="1" applyFont="1">
      <alignment horizontal="center" readingOrder="0" shrinkToFit="0" vertical="top" wrapText="1"/>
    </xf>
    <xf borderId="0" fillId="0" fontId="13" numFmtId="0" xfId="0" applyAlignment="1" applyFont="1">
      <alignment horizontal="center" readingOrder="0" shrinkToFit="0" wrapText="1"/>
    </xf>
    <xf borderId="0" fillId="0" fontId="12" numFmtId="0" xfId="0" applyAlignment="1" applyFont="1">
      <alignment readingOrder="0" shrinkToFit="0" vertical="top" wrapText="1"/>
    </xf>
    <xf borderId="0" fillId="0" fontId="13" numFmtId="0" xfId="0" applyAlignment="1" applyFont="1">
      <alignment horizontal="left" readingOrder="0" shrinkToFit="0" wrapText="1"/>
    </xf>
    <xf borderId="0" fillId="0" fontId="13" numFmtId="0" xfId="0" applyAlignment="1" applyFont="1">
      <alignment readingOrder="0" shrinkToFit="0" wrapText="1"/>
    </xf>
    <xf borderId="0" fillId="0" fontId="12" numFmtId="0" xfId="0" applyAlignment="1" applyFont="1">
      <alignment horizontal="left" readingOrder="0" shrinkToFit="0" wrapText="1"/>
    </xf>
    <xf borderId="0" fillId="0" fontId="12" numFmtId="0" xfId="0" applyAlignment="1" applyFont="1">
      <alignment readingOrder="0" shrinkToFit="0" wrapText="1"/>
    </xf>
    <xf borderId="0" fillId="0" fontId="12" numFmtId="0" xfId="0" applyAlignment="1" applyFont="1">
      <alignment shrinkToFit="0" wrapText="1"/>
    </xf>
    <xf borderId="0" fillId="0" fontId="12" numFmtId="0" xfId="0" applyAlignment="1" applyFont="1">
      <alignment horizontal="left" shrinkToFit="0" wrapText="1"/>
    </xf>
    <xf borderId="0" fillId="5" fontId="13" numFmtId="0" xfId="0" applyAlignment="1" applyFill="1" applyFont="1">
      <alignment readingOrder="0" shrinkToFit="0" wrapText="1"/>
    </xf>
    <xf borderId="0" fillId="2" fontId="1" numFmtId="0" xfId="0" applyAlignment="1" applyFont="1">
      <alignment horizontal="left" shrinkToFit="0" vertical="bottom" wrapText="1"/>
    </xf>
    <xf borderId="0" fillId="2" fontId="1" numFmtId="0" xfId="0" applyAlignment="1" applyFont="1">
      <alignment shrinkToFit="0" vertical="bottom" wrapText="0"/>
    </xf>
    <xf borderId="0" fillId="2" fontId="1" numFmtId="0" xfId="0" applyAlignment="1" applyFont="1">
      <alignment shrinkToFit="0" vertical="bottom" wrapText="0"/>
    </xf>
    <xf borderId="0" fillId="2" fontId="1" numFmtId="0" xfId="0" applyAlignment="1" applyFont="1">
      <alignment horizontal="center" readingOrder="0" shrinkToFit="0" vertical="bottom" wrapText="1"/>
    </xf>
    <xf borderId="0" fillId="3" fontId="2" numFmtId="0" xfId="0" applyAlignment="1" applyFont="1">
      <alignment horizontal="left" shrinkToFit="0" vertical="bottom" wrapText="1"/>
    </xf>
    <xf borderId="0" fillId="3" fontId="2" numFmtId="0" xfId="0" applyAlignment="1" applyFont="1">
      <alignment shrinkToFit="0" vertical="bottom" wrapText="0"/>
    </xf>
    <xf borderId="0" fillId="3" fontId="2" numFmtId="0" xfId="0" applyAlignment="1" applyFont="1">
      <alignment shrinkToFit="0" vertical="bottom" wrapText="1"/>
    </xf>
    <xf borderId="0" fillId="6" fontId="1" numFmtId="0" xfId="0" applyAlignment="1" applyFill="1" applyFont="1">
      <alignment horizontal="left" shrinkToFit="0" vertical="bottom" wrapText="0"/>
    </xf>
    <xf borderId="0" fillId="6" fontId="2" numFmtId="0" xfId="0" applyAlignment="1" applyFont="1">
      <alignment shrinkToFit="0" vertical="bottom" wrapText="0"/>
    </xf>
    <xf borderId="0" fillId="6" fontId="2" numFmtId="0" xfId="0" applyAlignment="1" applyFont="1">
      <alignment shrinkToFit="0" vertical="bottom" wrapText="1"/>
    </xf>
    <xf borderId="0" fillId="4" fontId="1" numFmtId="0" xfId="0" applyAlignment="1" applyFont="1">
      <alignment shrinkToFit="0" vertical="bottom" wrapText="0"/>
    </xf>
    <xf borderId="0" fillId="0" fontId="12" numFmtId="0" xfId="0" applyAlignment="1" applyFont="1">
      <alignment shrinkToFit="0" wrapText="0"/>
    </xf>
    <xf borderId="0" fillId="4" fontId="2" numFmtId="0" xfId="0" applyAlignment="1" applyFont="1">
      <alignment shrinkToFit="0" vertical="bottom" wrapText="1"/>
    </xf>
    <xf borderId="0" fillId="4" fontId="2" numFmtId="0" xfId="0" applyAlignment="1" applyFont="1">
      <alignment horizontal="right" shrinkToFit="0" vertical="bottom" wrapText="0"/>
    </xf>
    <xf borderId="0" fillId="7" fontId="1" numFmtId="0" xfId="0" applyAlignment="1" applyFill="1" applyFont="1">
      <alignment horizontal="left" shrinkToFit="0" vertical="bottom" wrapText="0"/>
    </xf>
    <xf borderId="0" fillId="7" fontId="1" numFmtId="0" xfId="0" applyAlignment="1" applyFont="1">
      <alignment shrinkToFit="0" vertical="bottom" wrapText="0"/>
    </xf>
    <xf borderId="0" fillId="7" fontId="2" numFmtId="0" xfId="0" applyAlignment="1" applyFont="1">
      <alignment shrinkToFit="0" vertical="bottom" wrapText="1"/>
    </xf>
    <xf borderId="0" fillId="3" fontId="15" numFmtId="0" xfId="0" applyAlignment="1" applyFont="1">
      <alignment horizontal="center" shrinkToFit="0" vertical="bottom" wrapText="0"/>
    </xf>
    <xf borderId="0" fillId="4" fontId="2" numFmtId="0" xfId="0" applyAlignment="1" applyFont="1">
      <alignment horizontal="left" shrinkToFit="0" vertical="bottom" wrapText="1"/>
    </xf>
    <xf borderId="0" fillId="3" fontId="2" numFmtId="0" xfId="0" applyAlignment="1" applyFont="1">
      <alignment horizontal="right" shrinkToFit="0" vertical="bottom" wrapText="0"/>
    </xf>
    <xf borderId="0" fillId="3" fontId="2" numFmtId="0" xfId="0" applyAlignment="1" applyFont="1">
      <alignment horizontal="left" readingOrder="0" shrinkToFit="0" vertical="bottom" wrapText="1"/>
    </xf>
    <xf borderId="0" fillId="3" fontId="2" numFmtId="0" xfId="0" applyAlignment="1" applyFont="1">
      <alignment readingOrder="0" shrinkToFit="0" vertical="bottom" wrapText="0"/>
    </xf>
    <xf borderId="0" fillId="3" fontId="2" numFmtId="0" xfId="0" applyAlignment="1" applyFont="1">
      <alignment readingOrder="0" shrinkToFit="0" vertical="bottom" wrapText="1"/>
    </xf>
    <xf borderId="0" fillId="4" fontId="2" numFmtId="0" xfId="0" applyAlignment="1" applyFont="1">
      <alignment shrinkToFit="0" vertical="bottom" wrapText="0"/>
    </xf>
    <xf borderId="0" fillId="8" fontId="1" numFmtId="0" xfId="0" applyAlignment="1" applyFill="1" applyFont="1">
      <alignment horizontal="left" shrinkToFit="0" vertical="bottom" wrapText="0"/>
    </xf>
    <xf borderId="0" fillId="8" fontId="1" numFmtId="0" xfId="0" applyAlignment="1" applyFont="1">
      <alignment shrinkToFit="0" vertical="bottom" wrapText="0"/>
    </xf>
    <xf borderId="0" fillId="8" fontId="2" numFmtId="0" xfId="0" applyAlignment="1" applyFont="1">
      <alignment shrinkToFit="0" vertical="bottom" wrapText="1"/>
    </xf>
    <xf borderId="0" fillId="3" fontId="1" numFmtId="0" xfId="0" applyAlignment="1" applyFont="1">
      <alignment horizontal="left" shrinkToFit="0" vertical="bottom" wrapText="0"/>
    </xf>
    <xf borderId="0" fillId="3" fontId="1" numFmtId="0" xfId="0" applyAlignment="1" applyFont="1">
      <alignment shrinkToFit="0" vertical="bottom" wrapText="0"/>
    </xf>
    <xf borderId="0" fillId="4" fontId="2" numFmtId="0" xfId="0" applyAlignment="1" applyFont="1">
      <alignment readingOrder="0" shrinkToFit="0" vertical="bottom" wrapText="1"/>
    </xf>
    <xf borderId="0" fillId="3" fontId="2" numFmtId="0" xfId="0" applyAlignment="1" applyFont="1">
      <alignment horizontal="left" shrinkToFit="0" vertical="bottom" wrapText="1"/>
    </xf>
    <xf borderId="0" fillId="3" fontId="2" numFmtId="0" xfId="0" applyAlignment="1" applyFont="1">
      <alignment shrinkToFit="0" vertical="bottom" wrapText="0"/>
    </xf>
    <xf borderId="0" fillId="3" fontId="2" numFmtId="0" xfId="0" applyAlignment="1" applyFont="1">
      <alignment horizontal="right" readingOrder="0" shrinkToFit="0" vertical="bottom" wrapText="0"/>
    </xf>
    <xf borderId="0" fillId="4" fontId="2" numFmtId="0" xfId="0" applyAlignment="1" applyFont="1">
      <alignment horizontal="right" readingOrder="0" shrinkToFit="0" vertical="bottom" wrapText="0"/>
    </xf>
    <xf borderId="0" fillId="4" fontId="2" numFmtId="0" xfId="0" applyAlignment="1" applyFont="1">
      <alignment horizontal="right" readingOrder="0" shrinkToFit="0" vertical="bottom" wrapText="1"/>
    </xf>
    <xf borderId="0" fillId="5" fontId="13" numFmtId="0" xfId="0" applyAlignment="1" applyFont="1">
      <alignment readingOrder="0" shrinkToFit="0" wrapText="0"/>
    </xf>
    <xf borderId="0" fillId="4" fontId="2" numFmtId="0" xfId="0" applyAlignment="1" applyFont="1">
      <alignment horizontal="left" readingOrder="0" shrinkToFit="0" vertical="bottom" wrapText="1"/>
    </xf>
    <xf borderId="0" fillId="0" fontId="12" numFmtId="0" xfId="0" applyAlignment="1" applyFont="1">
      <alignment readingOrder="0" shrinkToFit="0" wrapText="0"/>
    </xf>
    <xf borderId="0" fillId="4" fontId="12" numFmtId="0" xfId="0" applyAlignment="1" applyFont="1">
      <alignment readingOrder="0" shrinkToFit="0" wrapText="0"/>
    </xf>
    <xf borderId="0" fillId="4" fontId="12" numFmtId="0" xfId="0" applyAlignment="1" applyFont="1">
      <alignment shrinkToFit="0" wrapText="1"/>
    </xf>
    <xf borderId="0" fillId="4" fontId="2" numFmtId="0" xfId="0" applyAlignment="1" applyFont="1">
      <alignment readingOrder="0" shrinkToFit="0" vertical="bottom" wrapText="0"/>
    </xf>
    <xf borderId="0" fillId="3" fontId="1" numFmtId="0" xfId="0" applyAlignment="1" applyFont="1">
      <alignment readingOrder="0" shrinkToFit="0" vertical="bottom" wrapText="0"/>
    </xf>
    <xf borderId="0" fillId="0" fontId="13" numFmtId="0" xfId="0" applyAlignment="1" applyFont="1">
      <alignment readingOrder="0" shrinkToFit="0" wrapText="0"/>
    </xf>
    <xf borderId="0" fillId="4" fontId="13" numFmtId="0" xfId="0" applyAlignment="1" applyFont="1">
      <alignment readingOrder="0" shrinkToFit="0" wrapText="0"/>
    </xf>
    <xf borderId="0" fillId="3" fontId="13" numFmtId="0" xfId="0" applyAlignment="1" applyFont="1">
      <alignment readingOrder="0" shrinkToFit="0" wrapText="0"/>
    </xf>
    <xf borderId="0" fillId="0" fontId="16" numFmtId="0" xfId="0" applyAlignment="1" applyFont="1">
      <alignment readingOrder="0" shrinkToFit="0" wrapText="1"/>
    </xf>
    <xf borderId="0" fillId="4" fontId="1" numFmtId="0" xfId="0" applyAlignment="1" applyFont="1">
      <alignment readingOrder="0" shrinkToFit="0" vertical="bottom" wrapText="0"/>
    </xf>
    <xf borderId="0" fillId="2" fontId="1" numFmtId="0" xfId="0" applyAlignment="1" applyFont="1">
      <alignment shrinkToFit="0" vertical="bottom" wrapText="1"/>
    </xf>
    <xf borderId="0" fillId="2" fontId="1" numFmtId="0" xfId="0" applyAlignment="1" applyFont="1">
      <alignment readingOrder="0" shrinkToFit="0" vertical="bottom" wrapText="0"/>
    </xf>
    <xf borderId="0" fillId="3" fontId="16" numFmtId="0" xfId="0" applyAlignment="1" applyFont="1">
      <alignment readingOrder="0" shrinkToFit="0" vertical="bottom" wrapText="1"/>
    </xf>
    <xf borderId="0" fillId="0" fontId="17" numFmtId="0" xfId="0" applyAlignment="1" applyFont="1">
      <alignment readingOrder="0" shrinkToFit="0" wrapText="1"/>
    </xf>
    <xf borderId="1" fillId="0" fontId="18" numFmtId="0" xfId="0" applyAlignment="1" applyBorder="1" applyFont="1">
      <alignment readingOrder="0" shrinkToFit="0" vertical="bottom" wrapText="0"/>
    </xf>
    <xf borderId="1" fillId="0" fontId="19" numFmtId="0" xfId="0" applyAlignment="1" applyBorder="1" applyFont="1">
      <alignment horizontal="right" readingOrder="0" shrinkToFit="0" vertical="bottom" wrapText="0"/>
    </xf>
    <xf borderId="0" fillId="0" fontId="20" numFmtId="0" xfId="0" applyAlignment="1" applyFont="1">
      <alignment shrinkToFit="0" vertical="bottom" wrapText="0"/>
    </xf>
    <xf borderId="0" fillId="0" fontId="18" numFmtId="0" xfId="0" applyAlignment="1" applyFont="1">
      <alignment readingOrder="0" shrinkToFit="0" vertical="bottom" wrapText="0"/>
    </xf>
    <xf borderId="0" fillId="0" fontId="20" numFmtId="0" xfId="0" applyAlignment="1" applyFont="1">
      <alignment horizontal="right" shrinkToFit="0" vertical="bottom" wrapText="0"/>
    </xf>
    <xf borderId="1" fillId="0" fontId="21" numFmtId="0" xfId="0" applyAlignment="1" applyBorder="1" applyFont="1">
      <alignment horizontal="right" readingOrder="0" shrinkToFit="0" vertical="bottom" wrapText="0"/>
    </xf>
    <xf borderId="0" fillId="0" fontId="20" numFmtId="0" xfId="0" applyAlignment="1" applyFont="1">
      <alignment shrinkToFit="0" vertical="bottom" wrapText="0"/>
    </xf>
    <xf borderId="0" fillId="0" fontId="20" numFmtId="0" xfId="0" applyAlignment="1" applyFont="1">
      <alignment horizontal="right" shrinkToFit="0" vertical="bottom" wrapText="0"/>
    </xf>
    <xf borderId="1" fillId="0" fontId="18" numFmtId="0" xfId="0" applyAlignment="1" applyBorder="1" applyFont="1">
      <alignment horizontal="center" readingOrder="0" shrinkToFit="0" wrapText="1"/>
    </xf>
    <xf borderId="0" fillId="0" fontId="18" numFmtId="0" xfId="0" applyAlignment="1" applyFont="1">
      <alignment horizontal="center" readingOrder="0" shrinkToFit="0" wrapText="1"/>
    </xf>
    <xf borderId="1" fillId="0" fontId="20" numFmtId="0" xfId="0" applyAlignment="1" applyBorder="1" applyFont="1">
      <alignment horizontal="right" readingOrder="0" shrinkToFit="0" vertical="bottom" wrapText="0"/>
    </xf>
    <xf borderId="1" fillId="0" fontId="20" numFmtId="0" xfId="0" applyAlignment="1" applyBorder="1" applyFont="1">
      <alignment readingOrder="0" shrinkToFit="0" vertical="bottom" wrapText="0"/>
    </xf>
    <xf borderId="1" fillId="0" fontId="18" numFmtId="0" xfId="0" applyAlignment="1" applyBorder="1" applyFont="1">
      <alignment readingOrder="0" shrinkToFit="0" wrapText="1"/>
    </xf>
    <xf borderId="1" fillId="0" fontId="20" numFmtId="0" xfId="0" applyAlignment="1" applyBorder="1" applyFont="1">
      <alignment readingOrder="0" shrinkToFit="0" wrapText="1"/>
    </xf>
    <xf borderId="1" fillId="0" fontId="21" numFmtId="0" xfId="0" applyAlignment="1" applyBorder="1" applyFont="1">
      <alignment readingOrder="0" shrinkToFit="0" wrapText="1"/>
    </xf>
    <xf borderId="0" fillId="0" fontId="20" numFmtId="0" xfId="0" applyAlignment="1" applyFont="1">
      <alignment readingOrder="0" shrinkToFit="0" wrapText="1"/>
    </xf>
    <xf borderId="1" fillId="0" fontId="19" numFmtId="0" xfId="0" applyAlignment="1" applyBorder="1" applyFont="1">
      <alignment readingOrder="0" shrinkToFit="0" vertical="bottom" wrapText="0"/>
    </xf>
    <xf borderId="1" fillId="0" fontId="21" numFmtId="0" xfId="0" applyAlignment="1" applyBorder="1" applyFont="1">
      <alignment readingOrder="0" shrinkToFit="0" vertical="bottom" wrapText="0"/>
    </xf>
    <xf borderId="1" fillId="0" fontId="13" numFmtId="0" xfId="0" applyAlignment="1" applyBorder="1" applyFont="1">
      <alignment readingOrder="0" shrinkToFit="0" wrapText="1"/>
    </xf>
    <xf borderId="1" fillId="0" fontId="12" numFmtId="0" xfId="0" applyAlignment="1" applyBorder="1" applyFont="1">
      <alignment readingOrder="0" shrinkToFit="0" wrapText="1"/>
    </xf>
    <xf borderId="0" fillId="0" fontId="21" numFmtId="0" xfId="0" applyAlignment="1" applyFont="1">
      <alignment readingOrder="0" shrinkToFit="0" vertical="bottom" wrapText="0"/>
    </xf>
    <xf borderId="2" fillId="0" fontId="20" numFmtId="0" xfId="0" applyAlignment="1" applyBorder="1" applyFont="1">
      <alignment shrinkToFit="0" vertical="bottom" wrapText="0"/>
    </xf>
    <xf borderId="3" fillId="0" fontId="22" numFmtId="0" xfId="0" applyAlignment="1" applyBorder="1" applyFont="1">
      <alignment readingOrder="0" shrinkToFit="0" vertical="bottom" wrapText="0"/>
    </xf>
    <xf borderId="4" fillId="0" fontId="20" numFmtId="0" xfId="0" applyAlignment="1" applyBorder="1" applyFont="1">
      <alignment shrinkToFit="0" vertical="bottom" wrapText="0"/>
    </xf>
    <xf borderId="0" fillId="0" fontId="20" numFmtId="0" xfId="0" applyAlignment="1" applyFont="1">
      <alignment readingOrder="0" shrinkToFit="0" vertical="bottom" wrapText="0"/>
    </xf>
    <xf borderId="5" fillId="0" fontId="18" numFmtId="0" xfId="0" applyAlignment="1" applyBorder="1" applyFont="1">
      <alignment readingOrder="0" shrinkToFit="0" vertical="bottom" wrapText="0"/>
    </xf>
    <xf borderId="6" fillId="0" fontId="20" numFmtId="0" xfId="0" applyAlignment="1" applyBorder="1" applyFont="1">
      <alignment readingOrder="0" shrinkToFit="0" vertical="bottom" wrapText="0"/>
    </xf>
    <xf borderId="7" fillId="0" fontId="20" numFmtId="0" xfId="0" applyAlignment="1" applyBorder="1" applyFont="1">
      <alignment shrinkToFit="0" vertical="bottom" wrapText="0"/>
    </xf>
    <xf borderId="1" fillId="0" fontId="20" numFmtId="0" xfId="0" applyAlignment="1" applyBorder="1" applyFont="1">
      <alignment shrinkToFit="0" vertical="bottom" wrapText="0"/>
    </xf>
    <xf borderId="1" fillId="0" fontId="19" numFmtId="0" xfId="0" applyAlignment="1" applyBorder="1" applyFont="1">
      <alignment readingOrder="0" shrinkToFit="0" wrapText="1"/>
    </xf>
    <xf borderId="1" fillId="0" fontId="23" numFmtId="0" xfId="0" applyAlignment="1" applyBorder="1" applyFont="1">
      <alignment readingOrder="0" shrinkToFit="0" wrapText="1"/>
    </xf>
    <xf borderId="0" fillId="2" fontId="1" numFmtId="0" xfId="0" applyAlignment="1" applyFont="1">
      <alignment shrinkToFit="0" vertical="center" wrapText="1"/>
    </xf>
    <xf borderId="0" fillId="2" fontId="1" numFmtId="0" xfId="0" applyAlignment="1" applyFont="1">
      <alignment horizontal="center" shrinkToFit="0" vertical="center" wrapText="1"/>
    </xf>
    <xf borderId="0" fillId="2" fontId="1" numFmtId="4" xfId="0" applyAlignment="1" applyFont="1" applyNumberFormat="1">
      <alignment shrinkToFit="0" vertical="center" wrapText="1"/>
    </xf>
    <xf borderId="0" fillId="2" fontId="2" numFmtId="4" xfId="0" applyAlignment="1" applyFont="1" applyNumberFormat="1">
      <alignment shrinkToFit="0" vertical="center" wrapText="1"/>
    </xf>
    <xf borderId="0" fillId="2" fontId="2" numFmtId="0" xfId="0" applyAlignment="1" applyFont="1">
      <alignment shrinkToFit="0" vertical="center" wrapText="1"/>
    </xf>
    <xf borderId="0" fillId="2" fontId="13" numFmtId="0" xfId="0" applyAlignment="1" applyFont="1">
      <alignment shrinkToFit="0" vertical="center" wrapText="1"/>
    </xf>
    <xf borderId="0" fillId="3" fontId="1" numFmtId="0" xfId="0" applyAlignment="1" applyFont="1">
      <alignment shrinkToFit="0" vertical="center" wrapText="1"/>
    </xf>
    <xf borderId="0" fillId="5" fontId="2" numFmtId="0" xfId="0" applyAlignment="1" applyFont="1">
      <alignment horizontal="center" readingOrder="0" shrinkToFit="0" vertical="center" wrapText="1"/>
    </xf>
    <xf borderId="0" fillId="3" fontId="2" numFmtId="4" xfId="0" applyAlignment="1" applyFont="1" applyNumberFormat="1">
      <alignment shrinkToFit="0" vertical="center" wrapText="1"/>
    </xf>
    <xf borderId="0" fillId="8" fontId="24" numFmtId="4" xfId="0" applyAlignment="1" applyFont="1" applyNumberFormat="1">
      <alignment horizontal="center" shrinkToFit="0" vertical="center" wrapText="1"/>
    </xf>
    <xf borderId="0" fillId="8" fontId="24" numFmtId="0" xfId="0" applyAlignment="1" applyFont="1">
      <alignment horizontal="center" shrinkToFit="0" vertical="center" wrapText="1"/>
    </xf>
    <xf borderId="0" fillId="3" fontId="12" numFmtId="0" xfId="0" applyAlignment="1" applyFont="1">
      <alignment shrinkToFit="0" vertical="center" wrapText="1"/>
    </xf>
    <xf borderId="0" fillId="4" fontId="1" numFmtId="0" xfId="0" applyAlignment="1" applyFont="1">
      <alignment shrinkToFit="0" vertical="center" wrapText="1"/>
    </xf>
    <xf borderId="0" fillId="4" fontId="2" numFmtId="4" xfId="0" applyAlignment="1" applyFont="1" applyNumberFormat="1">
      <alignment shrinkToFit="0" vertical="center" wrapText="1"/>
    </xf>
    <xf borderId="0" fillId="4" fontId="12" numFmtId="0" xfId="0" applyAlignment="1" applyFont="1">
      <alignment shrinkToFit="0" vertical="center" wrapText="1"/>
    </xf>
    <xf borderId="0" fillId="5" fontId="2" numFmtId="0" xfId="0" applyAlignment="1" applyFont="1">
      <alignment horizontal="center" shrinkToFit="0" vertical="center" wrapText="1"/>
    </xf>
    <xf borderId="0" fillId="4" fontId="2" numFmtId="0" xfId="0" applyAlignment="1" applyFont="1">
      <alignment shrinkToFit="0" vertical="center" wrapText="1"/>
    </xf>
    <xf borderId="0" fillId="3" fontId="2" numFmtId="0" xfId="0" applyAlignment="1" applyFont="1">
      <alignment shrinkToFit="0" vertical="center" wrapText="1"/>
    </xf>
    <xf borderId="0" fillId="7" fontId="2" numFmtId="0" xfId="0" applyAlignment="1" applyFont="1">
      <alignment horizontal="center" shrinkToFit="0" vertical="center" wrapText="1"/>
    </xf>
    <xf borderId="0" fillId="7" fontId="2" numFmtId="0" xfId="0" applyAlignment="1" applyFont="1">
      <alignment readingOrder="0" shrinkToFit="0" vertical="center" wrapText="1"/>
    </xf>
    <xf borderId="0" fillId="3" fontId="13" numFmtId="0" xfId="0" applyAlignment="1" applyFont="1">
      <alignment shrinkToFit="0" wrapText="0"/>
    </xf>
    <xf borderId="0" fillId="3" fontId="13" numFmtId="0" xfId="0" applyAlignment="1" applyFont="1">
      <alignment shrinkToFit="0" wrapText="0"/>
    </xf>
    <xf borderId="0" fillId="4" fontId="12" numFmtId="0" xfId="0" applyAlignment="1" applyFont="1">
      <alignment shrinkToFit="0" wrapText="0"/>
    </xf>
    <xf borderId="0" fillId="3" fontId="12" numFmtId="0" xfId="0" applyAlignment="1" applyFont="1">
      <alignment shrinkToFit="0" wrapText="0"/>
    </xf>
    <xf borderId="0" fillId="3" fontId="12" numFmtId="0" xfId="0" applyAlignment="1" applyFont="1">
      <alignment shrinkToFit="0" wrapText="0"/>
    </xf>
    <xf borderId="0" fillId="4" fontId="12" numFmtId="0" xfId="0" applyAlignment="1" applyFont="1">
      <alignment shrinkToFit="0" wrapText="0"/>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3">
    <tableStyle count="3" pivot="0" name="Project Data-style">
      <tableStyleElement dxfId="1" type="headerRow"/>
      <tableStyleElement dxfId="2" type="firstRowStripe"/>
      <tableStyleElement dxfId="3" type="secondRowStripe"/>
    </tableStyle>
    <tableStyle count="3" pivot="0" name="Project Team-style">
      <tableStyleElement dxfId="1" type="headerRow"/>
      <tableStyleElement dxfId="2" type="firstRowStripe"/>
      <tableStyleElement dxfId="3" type="secondRowStripe"/>
    </tableStyle>
    <tableStyle count="3" pivot="0" name="Role Assignments-style">
      <tableStyleElement dxfId="1" type="headerRow"/>
      <tableStyleElement dxfId="2" type="firstRowStripe"/>
      <tableStyleElement dxfId="3" type="secondRowStripe"/>
    </tableStyle>
    <tableStyle count="3" pivot="0" name="Team Contract-style">
      <tableStyleElement dxfId="1" type="headerRow"/>
      <tableStyleElement dxfId="2" type="firstRowStripe"/>
      <tableStyleElement dxfId="3" type="secondRowStripe"/>
    </tableStyle>
    <tableStyle count="3" pivot="0" name="Product Glossary-style">
      <tableStyleElement dxfId="1" type="headerRow"/>
      <tableStyleElement dxfId="2" type="firstRowStripe"/>
      <tableStyleElement dxfId="3" type="secondRowStripe"/>
    </tableStyle>
    <tableStyle count="3" pivot="0" name="Sprint Goals-style">
      <tableStyleElement dxfId="1" type="headerRow"/>
      <tableStyleElement dxfId="2" type="firstRowStripe"/>
      <tableStyleElement dxfId="3" type="secondRowStripe"/>
    </tableStyle>
    <tableStyle count="3" pivot="0" name="Velocity Tracking-style">
      <tableStyleElement dxfId="1" type="headerRow"/>
      <tableStyleElement dxfId="2" type="firstRowStripe"/>
      <tableStyleElement dxfId="3" type="secondRowStripe"/>
    </tableStyle>
    <tableStyle count="3" pivot="0" name="Velocity Chart-style">
      <tableStyleElement dxfId="1" type="headerRow"/>
      <tableStyleElement dxfId="2" type="firstRowStripe"/>
      <tableStyleElement dxfId="3" type="secondRowStripe"/>
    </tableStyle>
    <tableStyle count="3" pivot="0" name="Mid-Project Release plan-style">
      <tableStyleElement dxfId="1" type="headerRow"/>
      <tableStyleElement dxfId="2" type="firstRowStripe"/>
      <tableStyleElement dxfId="3" type="secondRowStripe"/>
    </tableStyle>
    <tableStyle count="3" pivot="0" name="Final Project Release plan-style">
      <tableStyleElement dxfId="1" type="headerRow"/>
      <tableStyleElement dxfId="2" type="firstRowStripe"/>
      <tableStyleElement dxfId="3" type="secondRowStripe"/>
    </tableStyle>
    <tableStyle count="3" pivot="0" name="Definition of Done-style">
      <tableStyleElement dxfId="1" type="headerRow"/>
      <tableStyleElement dxfId="2" type="firstRowStripe"/>
      <tableStyleElement dxfId="3" type="secondRowStripe"/>
    </tableStyle>
    <tableStyle count="3" pivot="0" name="Documentation-style">
      <tableStyleElement dxfId="1" type="headerRow"/>
      <tableStyleElement dxfId="2" type="firstRowStripe"/>
      <tableStyleElement dxfId="3" type="secondRowStripe"/>
    </tableStyle>
    <tableStyle count="3" pivot="0" name="Bill of Material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9.xml"/><Relationship Id="rId10" Type="http://schemas.openxmlformats.org/officeDocument/2006/relationships/worksheet" Target="worksheets/sheet8.xml"/><Relationship Id="rId13" Type="http://schemas.openxmlformats.org/officeDocument/2006/relationships/worksheet" Target="worksheets/sheet11.xml"/><Relationship Id="rId12" Type="http://schemas.openxmlformats.org/officeDocument/2006/relationships/worksheet" Target="worksheets/sheet10.xml"/><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9" Type="http://schemas.openxmlformats.org/officeDocument/2006/relationships/worksheet" Target="worksheets/sheet7.xml"/><Relationship Id="rId15" Type="http://schemas.openxmlformats.org/officeDocument/2006/relationships/worksheet" Target="worksheets/sheet13.xml"/><Relationship Id="rId14" Type="http://schemas.openxmlformats.org/officeDocument/2006/relationships/worksheet" Target="worksheets/sheet12.xml"/><Relationship Id="rId17" Type="http://schemas.openxmlformats.org/officeDocument/2006/relationships/worksheet" Target="worksheets/sheet15.xml"/><Relationship Id="rId16" Type="http://schemas.openxmlformats.org/officeDocument/2006/relationships/worksheet" Target="worksheets/sheet14.xml"/><Relationship Id="rId5" Type="http://schemas.openxmlformats.org/officeDocument/2006/relationships/worksheet" Target="worksheets/sheet3.xml"/><Relationship Id="rId19" Type="http://schemas.openxmlformats.org/officeDocument/2006/relationships/worksheet" Target="worksheets/sheet17.xml"/><Relationship Id="rId6" Type="http://schemas.openxmlformats.org/officeDocument/2006/relationships/worksheet" Target="worksheets/sheet4.xml"/><Relationship Id="rId18" Type="http://schemas.openxmlformats.org/officeDocument/2006/relationships/worksheet" Target="worksheets/sheet16.xml"/><Relationship Id="rId7" Type="http://schemas.openxmlformats.org/officeDocument/2006/relationships/worksheet" Target="worksheets/sheet5.xml"/><Relationship Id="rId8" Type="http://schemas.openxmlformats.org/officeDocument/2006/relationships/worksheet" Target="worksheets/sheet6.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Team 3 Velocity Chart</a:t>
            </a:r>
          </a:p>
        </c:rich>
      </c:tx>
      <c:overlay val="0"/>
    </c:title>
    <c:plotArea>
      <c:layout/>
      <c:barChart>
        <c:barDir val="col"/>
        <c:ser>
          <c:idx val="0"/>
          <c:order val="0"/>
          <c:tx>
            <c:v>story points</c:v>
          </c:tx>
          <c:spPr>
            <a:solidFill>
              <a:srgbClr val="4285F4"/>
            </a:solidFill>
            <a:ln cmpd="sng">
              <a:solidFill>
                <a:srgbClr val="000000"/>
              </a:solidFill>
            </a:ln>
          </c:spPr>
          <c:dPt>
            <c:idx val="2"/>
          </c:dPt>
          <c:trendline>
            <c:name>trend sp/sprint</c:name>
            <c:spPr>
              <a:ln w="19050">
                <a:solidFill>
                  <a:srgbClr val="000000"/>
                </a:solidFill>
              </a:ln>
            </c:spPr>
            <c:trendlineType val="linear"/>
            <c:dispRSqr val="0"/>
            <c:dispEq val="0"/>
          </c:trendline>
          <c:cat>
            <c:strRef>
              <c:f>'Velocity Tracking'!$A$2:$A$14</c:f>
            </c:strRef>
          </c:cat>
          <c:val>
            <c:numRef>
              <c:f>'Velocity Tracking'!$B$2:$B$14</c:f>
              <c:numCache/>
            </c:numRef>
          </c:val>
        </c:ser>
        <c:axId val="433667832"/>
        <c:axId val="845501032"/>
      </c:barChart>
      <c:catAx>
        <c:axId val="433667832"/>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 number</a:t>
                </a:r>
              </a:p>
            </c:rich>
          </c:tx>
          <c:overlay val="0"/>
        </c:title>
        <c:numFmt formatCode="General" sourceLinked="1"/>
        <c:majorTickMark val="none"/>
        <c:minorTickMark val="none"/>
        <c:spPr/>
        <c:txPr>
          <a:bodyPr rot="0"/>
          <a:lstStyle/>
          <a:p>
            <a:pPr lvl="0">
              <a:defRPr b="0">
                <a:solidFill>
                  <a:srgbClr val="000000"/>
                </a:solidFill>
                <a:latin typeface="Roboto"/>
              </a:defRPr>
            </a:pPr>
          </a:p>
        </c:txPr>
        <c:crossAx val="845501032"/>
      </c:catAx>
      <c:valAx>
        <c:axId val="84550103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433667832"/>
      </c:valAx>
    </c:plotArea>
    <c:legend>
      <c:legendPos val="r"/>
      <c:overlay val="0"/>
      <c:txPr>
        <a:bodyPr/>
        <a:lstStyle/>
        <a:p>
          <a:pPr lvl="0">
            <a:defRPr b="0">
              <a:solidFill>
                <a:srgbClr val="000000"/>
              </a:solidFill>
              <a:latin typeface="Roboto"/>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v>Estimated remaining</c:v>
          </c:tx>
          <c:spPr>
            <a:solidFill>
              <a:srgbClr val="4285F4"/>
            </a:solidFill>
            <a:ln cmpd="sng">
              <a:solidFill>
                <a:srgbClr val="000000"/>
              </a:solidFill>
            </a:ln>
          </c:spPr>
          <c:cat>
            <c:strRef>
              <c:f>'Mid-Project Release plan'!$A$9:$A$17</c:f>
            </c:strRef>
          </c:cat>
          <c:val>
            <c:numRef>
              <c:f>'Mid-Project Release plan'!$E$9:$E$15</c:f>
              <c:numCache/>
            </c:numRef>
          </c:val>
        </c:ser>
        <c:ser>
          <c:idx val="1"/>
          <c:order val="1"/>
          <c:tx>
            <c:v>Real remaining</c:v>
          </c:tx>
          <c:spPr>
            <a:solidFill>
              <a:srgbClr val="DB4437"/>
            </a:solidFill>
            <a:ln cmpd="sng">
              <a:solidFill>
                <a:srgbClr val="000000"/>
              </a:solidFill>
            </a:ln>
          </c:spPr>
          <c:cat>
            <c:strRef>
              <c:f>'Mid-Project Release plan'!$A$9:$A$17</c:f>
            </c:strRef>
          </c:cat>
          <c:val>
            <c:numRef>
              <c:f>'Mid-Project Release plan'!$G$9:$G$15</c:f>
              <c:numCache/>
            </c:numRef>
          </c:val>
        </c:ser>
        <c:axId val="36020735"/>
        <c:axId val="274153067"/>
      </c:barChart>
      <c:catAx>
        <c:axId val="36020735"/>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a:t>
                </a:r>
              </a:p>
            </c:rich>
          </c:tx>
          <c:overlay val="0"/>
        </c:title>
        <c:numFmt formatCode="General" sourceLinked="1"/>
        <c:majorTickMark val="none"/>
        <c:minorTickMark val="none"/>
        <c:spPr/>
        <c:txPr>
          <a:bodyPr/>
          <a:lstStyle/>
          <a:p>
            <a:pPr lvl="0">
              <a:defRPr b="0">
                <a:solidFill>
                  <a:srgbClr val="000000"/>
                </a:solidFill>
                <a:latin typeface="Roboto"/>
              </a:defRPr>
            </a:pPr>
          </a:p>
        </c:txPr>
        <c:crossAx val="274153067"/>
      </c:catAx>
      <c:valAx>
        <c:axId val="27415306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36020735"/>
      </c:valAx>
    </c:plotArea>
    <c:legend>
      <c:legendPos val="r"/>
      <c:overlay val="0"/>
      <c:txPr>
        <a:bodyPr/>
        <a:lstStyle/>
        <a:p>
          <a:pPr lvl="0">
            <a:defRPr b="0">
              <a:solidFill>
                <a:srgbClr val="000000"/>
              </a:solidFill>
              <a:latin typeface="Roboto"/>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v>Estimated remaining</c:v>
          </c:tx>
          <c:spPr>
            <a:solidFill>
              <a:srgbClr val="4285F4"/>
            </a:solidFill>
            <a:ln cmpd="sng">
              <a:solidFill>
                <a:srgbClr val="000000"/>
              </a:solidFill>
            </a:ln>
          </c:spPr>
          <c:cat>
            <c:strRef>
              <c:f>'Final Project Release plan'!$A$9:$A$17</c:f>
            </c:strRef>
          </c:cat>
          <c:val>
            <c:numRef>
              <c:f>'Final Project Release plan'!$E$9:$E$16</c:f>
              <c:numCache/>
            </c:numRef>
          </c:val>
        </c:ser>
        <c:ser>
          <c:idx val="1"/>
          <c:order val="1"/>
          <c:tx>
            <c:v>Real remaining</c:v>
          </c:tx>
          <c:spPr>
            <a:solidFill>
              <a:srgbClr val="DB4437"/>
            </a:solidFill>
            <a:ln cmpd="sng">
              <a:solidFill>
                <a:srgbClr val="000000"/>
              </a:solidFill>
            </a:ln>
          </c:spPr>
          <c:cat>
            <c:strRef>
              <c:f>'Final Project Release plan'!$A$9:$A$17</c:f>
            </c:strRef>
          </c:cat>
          <c:val>
            <c:numRef>
              <c:f>'Final Project Release plan'!$G$9:$G$16</c:f>
              <c:numCache/>
            </c:numRef>
          </c:val>
        </c:ser>
        <c:axId val="1129190208"/>
        <c:axId val="826913081"/>
      </c:barChart>
      <c:catAx>
        <c:axId val="1129190208"/>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a:t>
                </a:r>
              </a:p>
            </c:rich>
          </c:tx>
          <c:overlay val="0"/>
        </c:title>
        <c:numFmt formatCode="General" sourceLinked="1"/>
        <c:majorTickMark val="none"/>
        <c:minorTickMark val="none"/>
        <c:spPr/>
        <c:txPr>
          <a:bodyPr/>
          <a:lstStyle/>
          <a:p>
            <a:pPr lvl="0">
              <a:defRPr b="0">
                <a:solidFill>
                  <a:srgbClr val="000000"/>
                </a:solidFill>
                <a:latin typeface="Roboto"/>
              </a:defRPr>
            </a:pPr>
          </a:p>
        </c:txPr>
        <c:crossAx val="826913081"/>
      </c:catAx>
      <c:valAx>
        <c:axId val="82691308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129190208"/>
      </c:valAx>
    </c:plotArea>
    <c:legend>
      <c:legendPos val="r"/>
      <c:overlay val="0"/>
      <c:txPr>
        <a:bodyPr/>
        <a:lstStyle/>
        <a:p>
          <a:pPr lvl="0">
            <a:defRPr b="0">
              <a:solidFill>
                <a:srgbClr val="000000"/>
              </a:solidFill>
              <a:latin typeface="Roboto"/>
            </a:defRPr>
          </a:pPr>
        </a:p>
      </c:txPr>
    </c:legend>
    <c:plotVisOnly val="1"/>
  </c:chart>
</c:chartSpace>
</file>

<file path=xl/drawings/_rels/drawing9.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2.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952500</xdr:colOff>
      <xdr:row>0</xdr:row>
      <xdr:rowOff>0</xdr:rowOff>
    </xdr:from>
    <xdr:ext cx="5715000" cy="3533775"/>
    <xdr:graphicFrame>
      <xdr:nvGraphicFramePr>
        <xdr:cNvPr id="1" name="Chart 1" title="Diagramm"/>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533400</xdr:colOff>
      <xdr:row>2</xdr:row>
      <xdr:rowOff>47625</xdr:rowOff>
    </xdr:from>
    <xdr:ext cx="5715000" cy="3533775"/>
    <xdr:graphicFrame>
      <xdr:nvGraphicFramePr>
        <xdr:cNvPr id="2" name="Chart 2" title="Diagramm"/>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533400</xdr:colOff>
      <xdr:row>2</xdr:row>
      <xdr:rowOff>47625</xdr:rowOff>
    </xdr:from>
    <xdr:ext cx="5715000" cy="3533775"/>
    <xdr:graphicFrame>
      <xdr:nvGraphicFramePr>
        <xdr:cNvPr id="3" name="Chart 3" title="Diagramm"/>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B20" displayName="Table_1" name="Table_1" id="1">
  <tableColumns count="2">
    <tableColumn name="Project Name" id="1"/>
    <tableColumn name="RTDIP Timeseries Forecasting" id="2"/>
  </tableColumns>
  <tableStyleInfo name="Project Data-style" showColumnStripes="0" showFirstColumn="1" showLastColumn="1" showRowStripes="1"/>
</table>
</file>

<file path=xl/tables/table2.xml><?xml version="1.0" encoding="utf-8"?>
<table xmlns="http://schemas.openxmlformats.org/spreadsheetml/2006/main" ref="A1:D20" displayName="Table_2" name="Table_2" id="2">
  <tableColumns count="4">
    <tableColumn name="Last Name" id="1"/>
    <tableColumn name="First Name" id="2"/>
    <tableColumn name="GitHub User Name" id="3"/>
    <tableColumn name="Email Address" id="4"/>
  </tableColumns>
  <tableStyleInfo name="Project Team-style" showColumnStripes="0" showFirstColumn="1" showLastColumn="1" showRowStripes="1"/>
</table>
</file>

<file path=xl/tables/table3.xml><?xml version="1.0" encoding="utf-8"?>
<table xmlns="http://schemas.openxmlformats.org/spreadsheetml/2006/main" ref="A2:H21" displayName="Table_3" name="Table_3" id="3">
  <tableColumns count="8">
    <tableColumn name="#" id="1"/>
    <tableColumn name="Meeting Day" id="2"/>
    <tableColumn name="Review" id="3"/>
    <tableColumn name="Planning" id="4"/>
    <tableColumn name="Software Developer" id="5"/>
    <tableColumn name="Release Manager" id="6"/>
    <tableColumn name="Scrum Master" id="7"/>
    <tableColumn name="Comment" id="8"/>
  </tableColumns>
  <tableStyleInfo name="Role Assignments-style" showColumnStripes="0" showFirstColumn="1" showLastColumn="1" showRowStripes="1"/>
</table>
</file>

<file path=xl/tables/table4.xml><?xml version="1.0" encoding="utf-8"?>
<table xmlns="http://schemas.openxmlformats.org/spreadsheetml/2006/main" ref="A1:B30" displayName="Table_4" name="Table_4" id="4">
  <tableColumns count="2">
    <tableColumn name="Goals" id="1"/>
    <tableColumn name="Aquire new skills" id="2"/>
  </tableColumns>
  <tableStyleInfo name="Team Contract-style" showColumnStripes="0" showFirstColumn="1" showLastColumn="1" showRowStripes="1"/>
</table>
</file>

<file path=xl/tables/table5.xml><?xml version="1.0" encoding="utf-8"?>
<table xmlns="http://schemas.openxmlformats.org/spreadsheetml/2006/main" ref="A1:B20" displayName="Table_5" name="Table_5" id="5">
  <tableColumns count="2">
    <tableColumn name="Term" id="1"/>
    <tableColumn name="Definition" id="2"/>
  </tableColumns>
  <tableStyleInfo name="Product Glossary-style" showColumnStripes="0" showFirstColumn="1" showLastColumn="1" showRowStripes="1"/>
</table>
</file>

<file path=xl/tables/table6.xml><?xml version="1.0" encoding="utf-8"?>
<table xmlns="http://schemas.openxmlformats.org/spreadsheetml/2006/main" ref="A1:B20" displayName="Table_6" name="Table_6" id="6">
  <tableColumns count="2">
    <tableColumn name="Sprint #" id="1"/>
    <tableColumn name="Sprint goal" id="2"/>
  </tableColumns>
  <tableStyleInfo name="Sprint Goals-style" showColumnStripes="0" showFirstColumn="1" showLastColumn="1" showRowStripes="1"/>
</table>
</file>

<file path=xl/tables/table7.xml><?xml version="1.0" encoding="utf-8"?>
<table xmlns="http://schemas.openxmlformats.org/spreadsheetml/2006/main" ref="A1:B20" displayName="Table_7" name="Table_7" id="7">
  <tableColumns count="2">
    <tableColumn name="Sprint #" id="1"/>
    <tableColumn name="Story Points Realized" id="2"/>
  </tableColumns>
  <tableStyleInfo name="Velocity Tracking-style" showColumnStripes="0" showFirstColumn="1" showLastColumn="1" showRowStripes="1"/>
</table>
</file>

<file path=xl/tables/table8.xml><?xml version="1.0" encoding="utf-8"?>
<table xmlns="http://schemas.openxmlformats.org/spreadsheetml/2006/main" headerRowCount="0" ref="A1:B20" displayName="Table_8" name="Table_8" id="8">
  <tableColumns count="2">
    <tableColumn name="Column1" id="1"/>
    <tableColumn name="Column2" id="2"/>
  </tableColumns>
  <tableStyleInfo name="Velocity Chart-style" showColumnStripes="0" showFirstColumn="1" showLastColumn="1" showRowStripes="1"/>
  <extLst>
    <ext uri="GoogleSheetsCustomDataVersion1">
      <go:sheetsCustomData xmlns:go="http://customooxmlschemas.google.com/" headerRowCount="1"/>
    </ext>
  </extLst>
</table>
</file>

<file path=xl/tables/table9.xml><?xml version="1.0" encoding="utf-8"?>
<table xmlns="http://schemas.openxmlformats.org/spreadsheetml/2006/main" ref="A1:G132" displayName="Table_9" name="Table_9" id="9">
  <tableColumns count="7">
    <tableColumn name="Sprint" id="1"/>
    <tableColumn name="Goal" id="2"/>
    <tableColumn name="Feature Name" id="3"/>
    <tableColumn name="Est. size" id="4"/>
    <tableColumn name="Est. remaining" id="5"/>
    <tableColumn name="Real size" id="6"/>
    <tableColumn name="Real remaining" id="7"/>
  </tableColumns>
  <tableStyleInfo name="Mid-Project Release plan-style" showColumnStripes="0" showFirstColumn="1" showLastColumn="1" showRowStripes="1"/>
</table>
</file>

<file path=xl/tables/table10.xml><?xml version="1.0" encoding="utf-8"?>
<table xmlns="http://schemas.openxmlformats.org/spreadsheetml/2006/main" ref="A1:G134" displayName="Table_10" name="Table_10" id="10">
  <tableColumns count="7">
    <tableColumn name="Sprint" id="1"/>
    <tableColumn name="Goal" id="2"/>
    <tableColumn name="Feature Name" id="3"/>
    <tableColumn name="Est. size" id="4"/>
    <tableColumn name="Est. remaining" id="5"/>
    <tableColumn name="Real size" id="6"/>
    <tableColumn name="Real remaining" id="7"/>
  </tableColumns>
  <tableStyleInfo name="Final Project Release plan-style" showColumnStripes="0" showFirstColumn="1" showLastColumn="1" showRowStripes="1"/>
</table>
</file>

<file path=xl/tables/table11.xml><?xml version="1.0" encoding="utf-8"?>
<table xmlns="http://schemas.openxmlformats.org/spreadsheetml/2006/main" ref="A1:D22" displayName="Table_11" name="Table_11" id="11">
  <tableColumns count="4">
    <tableColumn name="#" id="1"/>
    <tableColumn name="Feature Definition of Done" id="2"/>
    <tableColumn name="Sprint Release Definition of Done" id="3"/>
    <tableColumn name="Project Release Definition of Done" id="4"/>
  </tableColumns>
  <tableStyleInfo name="Definition of Done-style" showColumnStripes="0" showFirstColumn="1" showLastColumn="1" showRowStripes="1"/>
</table>
</file>

<file path=xl/tables/table12.xml><?xml version="1.0" encoding="utf-8"?>
<table xmlns="http://schemas.openxmlformats.org/spreadsheetml/2006/main" ref="A1:B20" displayName="Table_12" name="Table_12" id="12">
  <tableColumns count="2">
    <tableColumn name="Type" id="1"/>
    <tableColumn name="Link / reference" id="2"/>
  </tableColumns>
  <tableStyleInfo name="Documentation-style" showColumnStripes="0" showFirstColumn="1" showLastColumn="1" showRowStripes="1"/>
</table>
</file>

<file path=xl/tables/table13.xml><?xml version="1.0" encoding="utf-8"?>
<table xmlns="http://schemas.openxmlformats.org/spreadsheetml/2006/main" headerRowCount="0" ref="A1:U26" displayName="Table_13" name="Table_13" id="13">
  <tableColumns count="2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s>
  <tableStyleInfo name="Bill of Materials-style" showColumnStripes="0" showFirstColumn="1" showLastColumn="1" showRowStripes="1"/>
  <extLst>
    <ext uri="GoogleSheetsCustomDataVersion1">
      <go:sheetsCustomData xmlns:go="http://customooxmlschemas.google.com/" headerRowCount="1"/>
    </ext>
  </extLst>
</table>
</file>

<file path=xl/worksheets/_rels/sheet1.xml.rels><?xml version="1.0" encoding="UTF-8" standalone="yes"?><Relationships xmlns="http://schemas.openxmlformats.org/package/2006/relationships"><Relationship Id="rId1" Type="http://schemas.openxmlformats.org/officeDocument/2006/relationships/hyperlink" Target="https://fau.zoom-x.de/j/65502405196?pwd=8H73lyixQfqKrnO8Eb47kawnuKCnGp.1" TargetMode="External"/><Relationship Id="rId2" Type="http://schemas.openxmlformats.org/officeDocument/2006/relationships/hyperlink" Target="https://github.com/amosproj/amos2025ws03-rtdip-timeseries-forecasting" TargetMode="External"/><Relationship Id="rId3" Type="http://schemas.openxmlformats.org/officeDocument/2006/relationships/hyperlink" Target="https://github.com/orgs/amosproj/projects/91/views/1" TargetMode="External"/><Relationship Id="rId4" Type="http://schemas.openxmlformats.org/officeDocument/2006/relationships/hyperlink" Target="https://github.com/orgs/amosproj/projects/96" TargetMode="External"/><Relationship Id="rId10" Type="http://schemas.openxmlformats.org/officeDocument/2006/relationships/drawing" Target="../drawings/drawing1.xml"/><Relationship Id="rId12" Type="http://schemas.openxmlformats.org/officeDocument/2006/relationships/table" Target="../tables/table1.xml"/><Relationship Id="rId9" Type="http://schemas.openxmlformats.org/officeDocument/2006/relationships/hyperlink" Target="https://planningpokeronline.com/DMhnF5cOAk9ffF5jsRf2/" TargetMode="External"/><Relationship Id="rId5" Type="http://schemas.openxmlformats.org/officeDocument/2006/relationships/hyperlink" Target="https://www.shirtinator.de/s/QWcDXTKGS72ISnrRNZq1hg" TargetMode="External"/><Relationship Id="rId6" Type="http://schemas.openxmlformats.org/officeDocument/2006/relationships/hyperlink" Target="https://www.shirtinator.de/s/0yx3duRjSzW-5hP32KmZ1w" TargetMode="External"/><Relationship Id="rId7" Type="http://schemas.openxmlformats.org/officeDocument/2006/relationships/hyperlink" Target="https://discord.gg/KJXGmjcs" TargetMode="External"/><Relationship Id="rId8" Type="http://schemas.openxmlformats.org/officeDocument/2006/relationships/hyperlink" Target="https://happy-amos.appspot.com/Courses"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11.xml"/></Relationships>
</file>

<file path=xl/worksheets/_rels/sheet15.xml.rels><?xml version="1.0" encoding="UTF-8" standalone="yes"?><Relationships xmlns="http://schemas.openxmlformats.org/package/2006/relationships"><Relationship Id="rId1" Type="http://schemas.openxmlformats.org/officeDocument/2006/relationships/hyperlink" Target="https://github.com/amosproj/amos2025ws03-rtdip-timeseries-forecasting/wiki/Documentation" TargetMode="External"/><Relationship Id="rId2" Type="http://schemas.openxmlformats.org/officeDocument/2006/relationships/hyperlink" Target="https://github.com/amosproj/amos2025ws03-rtdip-timeseries-forecasting/wiki/Documentation" TargetMode="External"/><Relationship Id="rId3" Type="http://schemas.openxmlformats.org/officeDocument/2006/relationships/hyperlink" Target="https://github.com/amosproj/amos2025ws03-rtdip-timeseries-forecasting/wiki/Documentation" TargetMode="External"/><Relationship Id="rId4" Type="http://schemas.openxmlformats.org/officeDocument/2006/relationships/drawing" Target="../drawings/drawing15.xml"/><Relationship Id="rId6" Type="http://schemas.openxmlformats.org/officeDocument/2006/relationships/table" Target="../tables/table12.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13.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1" t="s">
        <v>0</v>
      </c>
      <c r="B1" s="2" t="s">
        <v>1</v>
      </c>
    </row>
    <row r="2">
      <c r="A2" s="3"/>
      <c r="B2" s="3"/>
    </row>
    <row r="3">
      <c r="A3" s="4" t="s">
        <v>2</v>
      </c>
      <c r="B3" s="5" t="s">
        <v>3</v>
      </c>
    </row>
    <row r="4">
      <c r="A4" s="3"/>
      <c r="B4" s="3"/>
    </row>
    <row r="5">
      <c r="A5" s="4" t="s">
        <v>4</v>
      </c>
      <c r="B5" s="6"/>
    </row>
    <row r="6">
      <c r="A6" s="7" t="s">
        <v>5</v>
      </c>
      <c r="B6" s="8"/>
    </row>
    <row r="7">
      <c r="A7" s="9"/>
      <c r="B7" s="9"/>
    </row>
    <row r="8">
      <c r="A8" s="7" t="s">
        <v>6</v>
      </c>
      <c r="B8" s="10" t="s">
        <v>7</v>
      </c>
    </row>
    <row r="9">
      <c r="A9" s="4" t="s">
        <v>8</v>
      </c>
      <c r="B9" s="11" t="s">
        <v>9</v>
      </c>
    </row>
    <row r="10">
      <c r="A10" s="7" t="s">
        <v>10</v>
      </c>
      <c r="B10" s="12" t="s">
        <v>11</v>
      </c>
    </row>
    <row r="11">
      <c r="A11" s="9"/>
      <c r="B11" s="9"/>
    </row>
    <row r="12">
      <c r="A12" s="7" t="s">
        <v>12</v>
      </c>
      <c r="B12" s="13" t="s">
        <v>13</v>
      </c>
    </row>
    <row r="13">
      <c r="A13" s="4" t="s">
        <v>14</v>
      </c>
      <c r="B13" s="14" t="s">
        <v>15</v>
      </c>
    </row>
    <row r="14">
      <c r="A14" s="3"/>
      <c r="B14" s="3"/>
    </row>
    <row r="15">
      <c r="A15" s="15" t="s">
        <v>16</v>
      </c>
      <c r="B15" s="16" t="s">
        <v>17</v>
      </c>
    </row>
    <row r="16">
      <c r="A16" s="3"/>
      <c r="B16" s="3"/>
    </row>
    <row r="17">
      <c r="A17" s="4" t="s">
        <v>18</v>
      </c>
      <c r="B17" s="6" t="s">
        <v>19</v>
      </c>
    </row>
    <row r="18">
      <c r="A18" s="3"/>
      <c r="B18" s="3"/>
    </row>
    <row r="19">
      <c r="A19" s="17" t="s">
        <v>20</v>
      </c>
      <c r="B19" s="16" t="s">
        <v>21</v>
      </c>
    </row>
    <row r="20">
      <c r="A20" s="18" t="s">
        <v>22</v>
      </c>
      <c r="B20" s="19" t="s">
        <v>23</v>
      </c>
    </row>
  </sheetData>
  <hyperlinks>
    <hyperlink r:id="rId1" ref="B3"/>
    <hyperlink r:id="rId2" ref="B8"/>
    <hyperlink r:id="rId3" ref="B9"/>
    <hyperlink r:id="rId4" ref="B10"/>
    <hyperlink r:id="rId5" ref="B12"/>
    <hyperlink r:id="rId6" ref="B13"/>
    <hyperlink r:id="rId7" ref="B15"/>
    <hyperlink r:id="rId8" ref="B19"/>
    <hyperlink r:id="rId9" ref="B20"/>
  </hyperlinks>
  <printOptions gridLines="1" horizontalCentered="1"/>
  <pageMargins bottom="0.75" footer="0.0" header="0.0" left="0.7" right="0.7" top="0.75"/>
  <pageSetup fitToHeight="0" paperSize="9" cellComments="atEnd" orientation="landscape" pageOrder="overThenDown"/>
  <drawing r:id="rId10"/>
  <tableParts count="1">
    <tablePart r:id="rId12"/>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4" width="31.38"/>
  </cols>
  <sheetData>
    <row r="1">
      <c r="A1" s="20" t="s">
        <v>24</v>
      </c>
      <c r="B1" s="20" t="s">
        <v>25</v>
      </c>
      <c r="C1" s="20" t="s">
        <v>26</v>
      </c>
      <c r="D1" s="20" t="s">
        <v>27</v>
      </c>
    </row>
    <row r="2">
      <c r="A2" s="21" t="s">
        <v>28</v>
      </c>
      <c r="B2" s="21" t="s">
        <v>29</v>
      </c>
      <c r="C2" s="21" t="s">
        <v>30</v>
      </c>
      <c r="D2" s="21" t="s">
        <v>31</v>
      </c>
    </row>
    <row r="3">
      <c r="A3" s="22" t="s">
        <v>32</v>
      </c>
      <c r="B3" s="22" t="s">
        <v>33</v>
      </c>
      <c r="C3" s="22" t="s">
        <v>34</v>
      </c>
      <c r="D3" s="22" t="s">
        <v>35</v>
      </c>
    </row>
    <row r="4">
      <c r="A4" s="23" t="s">
        <v>36</v>
      </c>
      <c r="B4" s="23" t="s">
        <v>37</v>
      </c>
      <c r="C4" s="23" t="s">
        <v>38</v>
      </c>
      <c r="D4" s="23" t="s">
        <v>39</v>
      </c>
    </row>
    <row r="5">
      <c r="A5" s="24" t="s">
        <v>40</v>
      </c>
      <c r="B5" s="24" t="s">
        <v>41</v>
      </c>
      <c r="C5" s="24" t="s">
        <v>42</v>
      </c>
      <c r="D5" s="24" t="s">
        <v>43</v>
      </c>
    </row>
    <row r="6">
      <c r="A6" s="23" t="s">
        <v>44</v>
      </c>
      <c r="B6" s="21" t="s">
        <v>45</v>
      </c>
      <c r="C6" s="23" t="s">
        <v>46</v>
      </c>
      <c r="D6" s="23" t="s">
        <v>47</v>
      </c>
    </row>
    <row r="7">
      <c r="A7" s="24" t="s">
        <v>48</v>
      </c>
      <c r="B7" s="22" t="s">
        <v>49</v>
      </c>
      <c r="C7" s="24" t="s">
        <v>50</v>
      </c>
      <c r="D7" s="24" t="s">
        <v>51</v>
      </c>
    </row>
    <row r="8">
      <c r="A8" s="23" t="s">
        <v>52</v>
      </c>
      <c r="B8" s="21" t="s">
        <v>53</v>
      </c>
      <c r="C8" s="23" t="s">
        <v>54</v>
      </c>
      <c r="D8" s="23" t="s">
        <v>55</v>
      </c>
    </row>
    <row r="9">
      <c r="A9" s="24" t="s">
        <v>56</v>
      </c>
      <c r="B9" s="22" t="s">
        <v>57</v>
      </c>
      <c r="C9" s="24" t="s">
        <v>58</v>
      </c>
      <c r="D9" s="24" t="s">
        <v>59</v>
      </c>
    </row>
    <row r="10">
      <c r="A10" s="23" t="s">
        <v>60</v>
      </c>
      <c r="B10" s="21" t="s">
        <v>61</v>
      </c>
      <c r="C10" s="23" t="s">
        <v>62</v>
      </c>
      <c r="D10" s="23" t="s">
        <v>63</v>
      </c>
    </row>
    <row r="11">
      <c r="A11" s="25"/>
      <c r="B11" s="26"/>
      <c r="C11" s="25"/>
      <c r="D11" s="25"/>
    </row>
    <row r="12">
      <c r="A12" s="25"/>
      <c r="B12" s="25"/>
      <c r="C12" s="25"/>
      <c r="D12" s="25"/>
    </row>
    <row r="13">
      <c r="A13" s="27"/>
      <c r="B13" s="28"/>
      <c r="C13" s="28"/>
      <c r="D13" s="28"/>
    </row>
    <row r="14">
      <c r="A14" s="25"/>
      <c r="B14" s="26"/>
      <c r="C14" s="25"/>
      <c r="D14" s="25"/>
    </row>
    <row r="15">
      <c r="A15" s="25"/>
      <c r="B15" s="26"/>
      <c r="C15" s="25"/>
      <c r="D15" s="25"/>
    </row>
    <row r="16">
      <c r="A16" s="25"/>
      <c r="B16" s="25"/>
      <c r="C16" s="25"/>
      <c r="D16" s="25"/>
    </row>
    <row r="17">
      <c r="A17" s="25"/>
      <c r="B17" s="25"/>
      <c r="C17" s="25"/>
      <c r="D17" s="25"/>
    </row>
    <row r="18">
      <c r="A18" s="25"/>
      <c r="B18" s="25"/>
      <c r="C18" s="25"/>
      <c r="D18" s="25"/>
    </row>
    <row r="19">
      <c r="A19" s="25"/>
      <c r="B19" s="25"/>
      <c r="C19" s="25"/>
      <c r="D19" s="25"/>
    </row>
    <row r="20">
      <c r="A20" s="25"/>
      <c r="B20" s="25"/>
      <c r="C20" s="25"/>
      <c r="D20" s="25"/>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2.75"/>
  <cols>
    <col customWidth="1" min="1" max="1" width="6.38"/>
    <col customWidth="1" min="2" max="2" width="12.63"/>
    <col customWidth="1" min="3" max="7" width="18.88"/>
    <col customWidth="1" min="8" max="8" width="50.13"/>
  </cols>
  <sheetData>
    <row r="1">
      <c r="A1" s="29"/>
      <c r="B1" s="29"/>
      <c r="C1" s="30" t="s">
        <v>64</v>
      </c>
      <c r="E1" s="29"/>
      <c r="F1" s="31"/>
      <c r="G1" s="31"/>
      <c r="H1" s="29"/>
    </row>
    <row r="2">
      <c r="A2" s="32" t="s">
        <v>65</v>
      </c>
      <c r="B2" s="32" t="s">
        <v>66</v>
      </c>
      <c r="C2" s="32" t="s">
        <v>67</v>
      </c>
      <c r="D2" s="32" t="s">
        <v>68</v>
      </c>
      <c r="E2" s="32" t="s">
        <v>69</v>
      </c>
      <c r="F2" s="33" t="s">
        <v>70</v>
      </c>
      <c r="G2" s="33" t="s">
        <v>71</v>
      </c>
      <c r="H2" s="32" t="s">
        <v>72</v>
      </c>
    </row>
    <row r="3">
      <c r="A3" s="34">
        <v>1.0</v>
      </c>
      <c r="B3" s="35">
        <v>45945.0</v>
      </c>
      <c r="C3" s="21" t="s">
        <v>73</v>
      </c>
      <c r="D3" s="21" t="s">
        <v>74</v>
      </c>
      <c r="E3" s="21" t="s">
        <v>75</v>
      </c>
      <c r="F3" s="21" t="s">
        <v>76</v>
      </c>
      <c r="G3" s="21" t="s">
        <v>29</v>
      </c>
      <c r="H3" s="36"/>
    </row>
    <row r="4">
      <c r="A4" s="37">
        <v>2.0</v>
      </c>
      <c r="B4" s="38">
        <f t="shared" ref="B4:B11" si="1">B3+7</f>
        <v>45952</v>
      </c>
      <c r="C4" s="22" t="s">
        <v>74</v>
      </c>
      <c r="D4" s="22" t="s">
        <v>73</v>
      </c>
      <c r="E4" s="22" t="s">
        <v>75</v>
      </c>
      <c r="F4" s="22" t="s">
        <v>41</v>
      </c>
      <c r="G4" s="22" t="s">
        <v>29</v>
      </c>
      <c r="H4" s="39"/>
    </row>
    <row r="5">
      <c r="A5" s="34">
        <v>3.0</v>
      </c>
      <c r="B5" s="35">
        <f t="shared" si="1"/>
        <v>45959</v>
      </c>
      <c r="C5" s="21" t="s">
        <v>73</v>
      </c>
      <c r="D5" s="21" t="s">
        <v>74</v>
      </c>
      <c r="E5" s="21" t="s">
        <v>75</v>
      </c>
      <c r="F5" s="21" t="s">
        <v>77</v>
      </c>
      <c r="G5" s="21" t="s">
        <v>29</v>
      </c>
      <c r="H5" s="36"/>
    </row>
    <row r="6">
      <c r="A6" s="37">
        <v>4.0</v>
      </c>
      <c r="B6" s="38">
        <f t="shared" si="1"/>
        <v>45966</v>
      </c>
      <c r="C6" s="22" t="s">
        <v>74</v>
      </c>
      <c r="D6" s="22" t="s">
        <v>73</v>
      </c>
      <c r="E6" s="22" t="s">
        <v>75</v>
      </c>
      <c r="F6" s="22" t="s">
        <v>78</v>
      </c>
      <c r="G6" s="22" t="s">
        <v>29</v>
      </c>
      <c r="H6" s="39"/>
    </row>
    <row r="7">
      <c r="A7" s="34">
        <v>5.0</v>
      </c>
      <c r="B7" s="35">
        <f t="shared" si="1"/>
        <v>45973</v>
      </c>
      <c r="C7" s="21" t="s">
        <v>73</v>
      </c>
      <c r="D7" s="21" t="s">
        <v>74</v>
      </c>
      <c r="E7" s="21" t="s">
        <v>75</v>
      </c>
      <c r="F7" s="21" t="s">
        <v>79</v>
      </c>
      <c r="G7" s="21" t="s">
        <v>29</v>
      </c>
      <c r="H7" s="36"/>
    </row>
    <row r="8">
      <c r="A8" s="37">
        <v>6.0</v>
      </c>
      <c r="B8" s="38">
        <f t="shared" si="1"/>
        <v>45980</v>
      </c>
      <c r="C8" s="22" t="s">
        <v>74</v>
      </c>
      <c r="D8" s="22" t="s">
        <v>73</v>
      </c>
      <c r="E8" s="22" t="s">
        <v>75</v>
      </c>
      <c r="F8" s="6" t="s">
        <v>80</v>
      </c>
      <c r="G8" s="22" t="s">
        <v>29</v>
      </c>
      <c r="H8" s="39"/>
    </row>
    <row r="9">
      <c r="A9" s="34">
        <v>7.0</v>
      </c>
      <c r="B9" s="35">
        <f t="shared" si="1"/>
        <v>45987</v>
      </c>
      <c r="C9" s="23" t="s">
        <v>73</v>
      </c>
      <c r="D9" s="23" t="s">
        <v>74</v>
      </c>
      <c r="E9" s="23" t="s">
        <v>75</v>
      </c>
      <c r="F9" s="23" t="s">
        <v>81</v>
      </c>
      <c r="G9" s="21" t="s">
        <v>29</v>
      </c>
      <c r="H9" s="21" t="s">
        <v>82</v>
      </c>
    </row>
    <row r="10">
      <c r="A10" s="37">
        <v>8.0</v>
      </c>
      <c r="B10" s="38">
        <f t="shared" si="1"/>
        <v>45994</v>
      </c>
      <c r="C10" s="24" t="s">
        <v>74</v>
      </c>
      <c r="D10" s="24" t="s">
        <v>73</v>
      </c>
      <c r="E10" s="24" t="s">
        <v>75</v>
      </c>
      <c r="F10" s="24" t="s">
        <v>78</v>
      </c>
      <c r="G10" s="22" t="s">
        <v>29</v>
      </c>
      <c r="H10" s="39"/>
    </row>
    <row r="11">
      <c r="A11" s="34">
        <v>9.0</v>
      </c>
      <c r="B11" s="35">
        <f t="shared" si="1"/>
        <v>46001</v>
      </c>
      <c r="C11" s="23" t="s">
        <v>73</v>
      </c>
      <c r="D11" s="23" t="s">
        <v>74</v>
      </c>
      <c r="E11" s="23" t="s">
        <v>75</v>
      </c>
      <c r="F11" s="21" t="s">
        <v>77</v>
      </c>
      <c r="G11" s="21" t="s">
        <v>29</v>
      </c>
      <c r="H11" s="36"/>
    </row>
    <row r="12">
      <c r="A12" s="37">
        <v>10.0</v>
      </c>
      <c r="B12" s="40">
        <v>46008.0</v>
      </c>
      <c r="C12" s="24" t="s">
        <v>74</v>
      </c>
      <c r="D12" s="23" t="s">
        <v>73</v>
      </c>
      <c r="E12" s="24" t="s">
        <v>75</v>
      </c>
      <c r="F12" s="41" t="s">
        <v>83</v>
      </c>
      <c r="G12" s="21" t="s">
        <v>29</v>
      </c>
    </row>
    <row r="13">
      <c r="A13" s="34">
        <v>11.0</v>
      </c>
      <c r="B13" s="42">
        <v>46029.0</v>
      </c>
      <c r="C13" s="23" t="s">
        <v>73</v>
      </c>
      <c r="D13" s="23" t="s">
        <v>74</v>
      </c>
      <c r="E13" s="24" t="s">
        <v>75</v>
      </c>
      <c r="F13" s="3" t="s">
        <v>80</v>
      </c>
      <c r="G13" s="22" t="s">
        <v>29</v>
      </c>
      <c r="H13" s="39"/>
    </row>
    <row r="14">
      <c r="A14" s="37">
        <v>12.0</v>
      </c>
      <c r="B14" s="43">
        <v>46036.0</v>
      </c>
      <c r="C14" s="24" t="s">
        <v>74</v>
      </c>
      <c r="D14" s="24" t="s">
        <v>73</v>
      </c>
      <c r="E14" s="23" t="s">
        <v>75</v>
      </c>
      <c r="F14" s="24" t="s">
        <v>81</v>
      </c>
      <c r="G14" s="21" t="s">
        <v>29</v>
      </c>
      <c r="H14" s="36"/>
    </row>
    <row r="15">
      <c r="A15" s="34">
        <v>13.0</v>
      </c>
      <c r="B15" s="35">
        <f t="shared" ref="B15:B18" si="2">B14+7</f>
        <v>46043</v>
      </c>
      <c r="C15" s="23" t="s">
        <v>73</v>
      </c>
      <c r="D15" s="23" t="s">
        <v>74</v>
      </c>
      <c r="E15" s="24" t="s">
        <v>75</v>
      </c>
      <c r="F15" s="23" t="s">
        <v>77</v>
      </c>
      <c r="G15" s="22" t="s">
        <v>29</v>
      </c>
      <c r="H15" s="39"/>
    </row>
    <row r="16">
      <c r="A16" s="37">
        <v>14.0</v>
      </c>
      <c r="B16" s="38">
        <f t="shared" si="2"/>
        <v>46050</v>
      </c>
      <c r="C16" s="24" t="s">
        <v>74</v>
      </c>
      <c r="D16" s="24" t="s">
        <v>73</v>
      </c>
      <c r="E16" s="23" t="s">
        <v>75</v>
      </c>
      <c r="F16" s="3" t="s">
        <v>80</v>
      </c>
      <c r="G16" s="21" t="s">
        <v>29</v>
      </c>
      <c r="H16" s="36"/>
    </row>
    <row r="17">
      <c r="A17" s="34">
        <v>15.0</v>
      </c>
      <c r="B17" s="35">
        <f t="shared" si="2"/>
        <v>46057</v>
      </c>
      <c r="C17" s="23" t="s">
        <v>73</v>
      </c>
      <c r="D17" s="23" t="s">
        <v>74</v>
      </c>
      <c r="E17" s="24" t="s">
        <v>75</v>
      </c>
      <c r="F17" s="44" t="s">
        <v>83</v>
      </c>
      <c r="G17" s="22" t="s">
        <v>29</v>
      </c>
      <c r="H17" s="22" t="s">
        <v>84</v>
      </c>
    </row>
    <row r="18">
      <c r="B18" s="38">
        <f t="shared" si="2"/>
        <v>46064</v>
      </c>
      <c r="C18" s="24" t="s">
        <v>74</v>
      </c>
      <c r="D18" s="24" t="s">
        <v>73</v>
      </c>
      <c r="E18" s="23" t="s">
        <v>75</v>
      </c>
      <c r="G18" s="21" t="s">
        <v>29</v>
      </c>
      <c r="H18" s="21" t="s">
        <v>85</v>
      </c>
    </row>
    <row r="19">
      <c r="A19" s="21" t="s">
        <v>86</v>
      </c>
      <c r="B19" s="36"/>
      <c r="C19" s="3"/>
      <c r="D19" s="3"/>
      <c r="E19" s="3"/>
      <c r="F19" s="3"/>
      <c r="G19" s="3"/>
      <c r="H19" s="36"/>
    </row>
    <row r="20">
      <c r="A20" s="9"/>
      <c r="B20" s="39"/>
      <c r="C20" s="9"/>
      <c r="D20" s="9"/>
      <c r="E20" s="9"/>
      <c r="F20" s="9"/>
      <c r="G20" s="9"/>
      <c r="H20" s="39"/>
    </row>
    <row r="21">
      <c r="A21" s="3"/>
      <c r="B21" s="36"/>
      <c r="C21" s="3"/>
      <c r="D21" s="3"/>
      <c r="E21" s="3"/>
      <c r="F21" s="3"/>
      <c r="G21" s="3"/>
      <c r="H21" s="36"/>
    </row>
  </sheetData>
  <mergeCells count="1">
    <mergeCell ref="C1:D1"/>
  </mergeCell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5.13"/>
    <col customWidth="1" min="2" max="2" width="100.13"/>
  </cols>
  <sheetData>
    <row r="1">
      <c r="A1" s="45" t="s">
        <v>87</v>
      </c>
      <c r="B1" s="46" t="s">
        <v>88</v>
      </c>
    </row>
    <row r="2">
      <c r="A2" s="6"/>
      <c r="B2" s="47" t="s">
        <v>89</v>
      </c>
    </row>
    <row r="3">
      <c r="A3" s="45" t="s">
        <v>90</v>
      </c>
      <c r="B3" s="48" t="s">
        <v>91</v>
      </c>
    </row>
    <row r="4">
      <c r="A4" s="6"/>
      <c r="B4" s="47" t="s">
        <v>92</v>
      </c>
    </row>
    <row r="5">
      <c r="A5" s="45" t="s">
        <v>93</v>
      </c>
      <c r="B5" s="48" t="s">
        <v>94</v>
      </c>
    </row>
    <row r="6">
      <c r="A6" s="6"/>
      <c r="B6" s="47" t="s">
        <v>95</v>
      </c>
    </row>
    <row r="7">
      <c r="A7" s="45" t="s">
        <v>96</v>
      </c>
      <c r="B7" s="49" t="s">
        <v>97</v>
      </c>
    </row>
    <row r="8">
      <c r="A8" s="6"/>
      <c r="B8" s="47" t="s">
        <v>98</v>
      </c>
    </row>
    <row r="9">
      <c r="A9" s="45" t="s">
        <v>99</v>
      </c>
      <c r="B9" s="48" t="s">
        <v>100</v>
      </c>
    </row>
    <row r="10">
      <c r="A10" s="6"/>
      <c r="B10" s="47" t="s">
        <v>101</v>
      </c>
    </row>
    <row r="11">
      <c r="A11" s="45" t="s">
        <v>102</v>
      </c>
      <c r="B11" s="48" t="s">
        <v>103</v>
      </c>
    </row>
    <row r="12">
      <c r="A12" s="9"/>
      <c r="B12" s="47" t="s">
        <v>104</v>
      </c>
    </row>
    <row r="13">
      <c r="A13" s="45" t="s">
        <v>105</v>
      </c>
      <c r="B13" s="48" t="s">
        <v>106</v>
      </c>
    </row>
    <row r="14">
      <c r="A14" s="9"/>
      <c r="B14" s="47" t="s">
        <v>107</v>
      </c>
    </row>
    <row r="15">
      <c r="A15" s="50" t="s">
        <v>108</v>
      </c>
      <c r="B15" s="48" t="s">
        <v>109</v>
      </c>
    </row>
    <row r="16">
      <c r="A16" s="9"/>
      <c r="B16" s="9"/>
    </row>
    <row r="17">
      <c r="A17" s="50" t="s">
        <v>110</v>
      </c>
      <c r="B17" s="48" t="s">
        <v>111</v>
      </c>
    </row>
    <row r="18">
      <c r="A18" s="9"/>
      <c r="B18" s="9"/>
    </row>
    <row r="19">
      <c r="A19" s="45" t="s">
        <v>112</v>
      </c>
      <c r="B19" s="3"/>
    </row>
    <row r="20">
      <c r="A20" s="3"/>
      <c r="B20" s="3"/>
    </row>
    <row r="21">
      <c r="A21" s="6" t="s">
        <v>71</v>
      </c>
      <c r="B21" s="9" t="s">
        <v>113</v>
      </c>
    </row>
    <row r="22">
      <c r="A22" s="8" t="s">
        <v>114</v>
      </c>
      <c r="B22" s="3" t="s">
        <v>73</v>
      </c>
    </row>
    <row r="23">
      <c r="A23" s="6" t="s">
        <v>114</v>
      </c>
      <c r="B23" s="9" t="s">
        <v>74</v>
      </c>
    </row>
    <row r="24">
      <c r="A24" s="8" t="s">
        <v>115</v>
      </c>
      <c r="B24" s="3" t="s">
        <v>79</v>
      </c>
    </row>
    <row r="25">
      <c r="A25" s="6" t="s">
        <v>115</v>
      </c>
      <c r="B25" s="9" t="s">
        <v>78</v>
      </c>
    </row>
    <row r="26">
      <c r="A26" s="8" t="s">
        <v>115</v>
      </c>
      <c r="B26" s="3" t="s">
        <v>81</v>
      </c>
    </row>
    <row r="27">
      <c r="A27" s="6" t="s">
        <v>115</v>
      </c>
      <c r="B27" s="9" t="s">
        <v>80</v>
      </c>
    </row>
    <row r="28">
      <c r="A28" s="8" t="s">
        <v>115</v>
      </c>
      <c r="B28" s="3" t="s">
        <v>83</v>
      </c>
    </row>
    <row r="29">
      <c r="A29" s="6" t="s">
        <v>115</v>
      </c>
      <c r="B29" s="51" t="s">
        <v>77</v>
      </c>
    </row>
    <row r="30">
      <c r="A30" s="3"/>
      <c r="B30" s="3"/>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2.63"/>
  </cols>
  <sheetData>
    <row r="1">
      <c r="A1" s="52" t="s">
        <v>116</v>
      </c>
      <c r="B1" s="52" t="s">
        <v>117</v>
      </c>
    </row>
    <row r="2">
      <c r="A2" s="53"/>
      <c r="B2" s="54"/>
    </row>
    <row r="3">
      <c r="A3" s="55" t="s">
        <v>118</v>
      </c>
      <c r="B3" s="56" t="s">
        <v>119</v>
      </c>
    </row>
  </sheetData>
  <mergeCells count="2">
    <mergeCell ref="A3:A20"/>
    <mergeCell ref="B3:B20"/>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57" t="s">
        <v>120</v>
      </c>
      <c r="B1" s="58" t="s">
        <v>121</v>
      </c>
    </row>
    <row r="2">
      <c r="A2" s="59" t="s">
        <v>122</v>
      </c>
      <c r="B2" s="44" t="s">
        <v>123</v>
      </c>
    </row>
    <row r="3">
      <c r="A3" s="59" t="s">
        <v>124</v>
      </c>
      <c r="B3" s="44" t="s">
        <v>125</v>
      </c>
    </row>
    <row r="4">
      <c r="A4" s="59" t="s">
        <v>126</v>
      </c>
      <c r="B4" s="44" t="s">
        <v>127</v>
      </c>
    </row>
    <row r="5">
      <c r="A5" s="59" t="s">
        <v>128</v>
      </c>
      <c r="B5" s="44" t="s">
        <v>129</v>
      </c>
    </row>
    <row r="6">
      <c r="A6" s="59" t="s">
        <v>130</v>
      </c>
      <c r="B6" s="44" t="s">
        <v>131</v>
      </c>
    </row>
    <row r="7">
      <c r="A7" s="59" t="s">
        <v>132</v>
      </c>
      <c r="B7" s="44" t="s">
        <v>133</v>
      </c>
    </row>
    <row r="8">
      <c r="A8" s="59" t="s">
        <v>134</v>
      </c>
      <c r="B8" s="44" t="s">
        <v>135</v>
      </c>
    </row>
    <row r="9">
      <c r="A9" s="59" t="s">
        <v>136</v>
      </c>
      <c r="B9" s="44" t="s">
        <v>137</v>
      </c>
    </row>
    <row r="10">
      <c r="A10" s="59" t="s">
        <v>138</v>
      </c>
      <c r="B10" s="44" t="s">
        <v>139</v>
      </c>
    </row>
    <row r="11">
      <c r="A11" s="59" t="s">
        <v>140</v>
      </c>
      <c r="B11" s="44" t="s">
        <v>141</v>
      </c>
    </row>
    <row r="12">
      <c r="A12" s="59" t="s">
        <v>142</v>
      </c>
      <c r="B12" s="44" t="s">
        <v>143</v>
      </c>
    </row>
    <row r="13">
      <c r="A13" s="59" t="s">
        <v>144</v>
      </c>
      <c r="B13" s="44" t="s">
        <v>145</v>
      </c>
    </row>
    <row r="14">
      <c r="A14" s="59" t="s">
        <v>146</v>
      </c>
      <c r="B14" s="44" t="s">
        <v>147</v>
      </c>
    </row>
    <row r="15">
      <c r="A15" s="59" t="s">
        <v>148</v>
      </c>
      <c r="B15" s="44" t="s">
        <v>149</v>
      </c>
    </row>
    <row r="16">
      <c r="A16" s="59" t="s">
        <v>150</v>
      </c>
      <c r="B16" s="44" t="s">
        <v>151</v>
      </c>
    </row>
    <row r="17">
      <c r="A17" s="59" t="s">
        <v>152</v>
      </c>
      <c r="B17" s="44" t="s">
        <v>153</v>
      </c>
    </row>
    <row r="18">
      <c r="A18" s="59" t="s">
        <v>154</v>
      </c>
      <c r="B18" s="44" t="s">
        <v>155</v>
      </c>
    </row>
    <row r="19">
      <c r="A19" s="59" t="s">
        <v>156</v>
      </c>
      <c r="B19" s="44" t="s">
        <v>157</v>
      </c>
    </row>
    <row r="20">
      <c r="A20" s="59" t="s">
        <v>158</v>
      </c>
      <c r="B20" s="44" t="s">
        <v>159</v>
      </c>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60" t="s">
        <v>160</v>
      </c>
      <c r="B1" s="61" t="s">
        <v>161</v>
      </c>
    </row>
    <row r="2">
      <c r="A2" s="62">
        <v>1.0</v>
      </c>
      <c r="B2" s="63" t="s">
        <v>162</v>
      </c>
    </row>
    <row r="3">
      <c r="A3" s="62">
        <f t="shared" ref="A3:A16" si="1">A2+1</f>
        <v>2</v>
      </c>
      <c r="B3" s="63" t="s">
        <v>162</v>
      </c>
    </row>
    <row r="4">
      <c r="A4" s="62">
        <f t="shared" si="1"/>
        <v>3</v>
      </c>
      <c r="B4" s="63" t="s">
        <v>162</v>
      </c>
    </row>
    <row r="5">
      <c r="A5" s="62">
        <f t="shared" si="1"/>
        <v>4</v>
      </c>
      <c r="B5" s="44" t="s">
        <v>163</v>
      </c>
    </row>
    <row r="6">
      <c r="A6" s="62">
        <f t="shared" si="1"/>
        <v>5</v>
      </c>
      <c r="B6" s="63" t="s">
        <v>164</v>
      </c>
    </row>
    <row r="7">
      <c r="A7" s="62">
        <f t="shared" si="1"/>
        <v>6</v>
      </c>
      <c r="B7" s="63" t="s">
        <v>165</v>
      </c>
    </row>
    <row r="8">
      <c r="A8" s="62">
        <f t="shared" si="1"/>
        <v>7</v>
      </c>
      <c r="B8" s="63" t="s">
        <v>166</v>
      </c>
    </row>
    <row r="9">
      <c r="A9" s="62">
        <f t="shared" si="1"/>
        <v>8</v>
      </c>
      <c r="B9" s="63" t="s">
        <v>167</v>
      </c>
    </row>
    <row r="10">
      <c r="A10" s="62">
        <f t="shared" si="1"/>
        <v>9</v>
      </c>
      <c r="B10" s="63" t="s">
        <v>168</v>
      </c>
    </row>
    <row r="11">
      <c r="A11" s="62">
        <f t="shared" si="1"/>
        <v>10</v>
      </c>
      <c r="B11" s="63" t="s">
        <v>169</v>
      </c>
    </row>
    <row r="12">
      <c r="A12" s="62">
        <f t="shared" si="1"/>
        <v>11</v>
      </c>
      <c r="B12" s="63" t="s">
        <v>170</v>
      </c>
    </row>
    <row r="13">
      <c r="A13" s="62">
        <f t="shared" si="1"/>
        <v>12</v>
      </c>
      <c r="B13" s="63" t="s">
        <v>171</v>
      </c>
    </row>
    <row r="14">
      <c r="A14" s="62">
        <f t="shared" si="1"/>
        <v>13</v>
      </c>
      <c r="B14" s="63" t="s">
        <v>172</v>
      </c>
    </row>
    <row r="15">
      <c r="A15" s="62">
        <f t="shared" si="1"/>
        <v>14</v>
      </c>
      <c r="B15" s="63" t="s">
        <v>173</v>
      </c>
    </row>
    <row r="16">
      <c r="A16" s="62">
        <f t="shared" si="1"/>
        <v>15</v>
      </c>
      <c r="B16" s="63" t="s">
        <v>174</v>
      </c>
    </row>
    <row r="17">
      <c r="A17" s="62"/>
      <c r="B17" s="64"/>
    </row>
    <row r="18">
      <c r="A18" s="62"/>
      <c r="B18" s="64"/>
    </row>
    <row r="19">
      <c r="A19" s="65"/>
      <c r="B19" s="64"/>
    </row>
    <row r="20">
      <c r="A20" s="65"/>
      <c r="B20" s="64"/>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60" t="s">
        <v>160</v>
      </c>
      <c r="B1" s="61" t="s">
        <v>175</v>
      </c>
    </row>
    <row r="2">
      <c r="A2" s="62">
        <v>1.0</v>
      </c>
      <c r="B2" s="63">
        <f>'Mid-Project Release plan'!F9</f>
        <v>0</v>
      </c>
    </row>
    <row r="3">
      <c r="A3" s="62">
        <f t="shared" ref="A3:A15" si="1">A2+1</f>
        <v>2</v>
      </c>
      <c r="B3" s="63">
        <f>'Mid-Project Release plan'!F10</f>
        <v>11</v>
      </c>
    </row>
    <row r="4">
      <c r="A4" s="62">
        <f t="shared" si="1"/>
        <v>3</v>
      </c>
      <c r="B4" s="63">
        <f>'Mid-Project Release plan'!F11</f>
        <v>10</v>
      </c>
    </row>
    <row r="5">
      <c r="A5" s="62">
        <f t="shared" si="1"/>
        <v>4</v>
      </c>
      <c r="B5" s="63">
        <f>'Mid-Project Release plan'!F12</f>
        <v>12</v>
      </c>
    </row>
    <row r="6">
      <c r="A6" s="62">
        <f t="shared" si="1"/>
        <v>5</v>
      </c>
      <c r="B6" s="63">
        <f>'Mid-Project Release plan'!F13</f>
        <v>13</v>
      </c>
    </row>
    <row r="7">
      <c r="A7" s="62">
        <f t="shared" si="1"/>
        <v>6</v>
      </c>
      <c r="B7" s="63">
        <f>'Mid-Project Release plan'!F14</f>
        <v>18</v>
      </c>
    </row>
    <row r="8">
      <c r="A8" s="62">
        <f t="shared" si="1"/>
        <v>7</v>
      </c>
      <c r="B8" s="63">
        <f>'Final Project Release plan'!F9</f>
        <v>18</v>
      </c>
    </row>
    <row r="9">
      <c r="A9" s="62">
        <f t="shared" si="1"/>
        <v>8</v>
      </c>
      <c r="B9" s="63">
        <f>'Final Project Release plan'!F10</f>
        <v>13</v>
      </c>
    </row>
    <row r="10">
      <c r="A10" s="62">
        <f t="shared" si="1"/>
        <v>9</v>
      </c>
      <c r="B10" s="63">
        <f>'Final Project Release plan'!F11</f>
        <v>14</v>
      </c>
    </row>
    <row r="11">
      <c r="A11" s="62">
        <f t="shared" si="1"/>
        <v>10</v>
      </c>
      <c r="B11" s="63">
        <f>'Final Project Release plan'!F12</f>
        <v>13</v>
      </c>
    </row>
    <row r="12">
      <c r="A12" s="62">
        <f t="shared" si="1"/>
        <v>11</v>
      </c>
      <c r="B12" s="63">
        <f>'Final Project Release plan'!F13</f>
        <v>0</v>
      </c>
    </row>
    <row r="13">
      <c r="A13" s="62">
        <f t="shared" si="1"/>
        <v>12</v>
      </c>
      <c r="B13" s="63">
        <f>'Final Project Release plan'!F14</f>
        <v>0</v>
      </c>
    </row>
    <row r="14">
      <c r="A14" s="62">
        <f t="shared" si="1"/>
        <v>13</v>
      </c>
      <c r="B14" s="63">
        <f>'Final Project Release plan'!F15</f>
        <v>0</v>
      </c>
    </row>
    <row r="15">
      <c r="A15" s="62">
        <f t="shared" si="1"/>
        <v>14</v>
      </c>
      <c r="B15" s="63">
        <f>'Final Project Release plan'!F16</f>
        <v>0</v>
      </c>
    </row>
    <row r="16">
      <c r="A16" s="62"/>
      <c r="B16" s="63"/>
    </row>
    <row r="17">
      <c r="A17" s="62"/>
      <c r="B17" s="64"/>
    </row>
    <row r="18">
      <c r="A18" s="62"/>
      <c r="B18" s="66" t="s">
        <v>176</v>
      </c>
    </row>
    <row r="19">
      <c r="A19" s="65"/>
      <c r="B19" s="64"/>
    </row>
    <row r="20">
      <c r="A20" s="65"/>
      <c r="B20" s="64"/>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60"/>
      <c r="B1" s="61"/>
    </row>
    <row r="2">
      <c r="A2" s="62"/>
      <c r="B2" s="63"/>
    </row>
    <row r="3">
      <c r="A3" s="62"/>
      <c r="B3" s="63"/>
    </row>
    <row r="4">
      <c r="A4" s="62"/>
      <c r="B4" s="63"/>
    </row>
    <row r="5">
      <c r="A5" s="62"/>
    </row>
    <row r="6">
      <c r="A6" s="62"/>
      <c r="B6" s="63"/>
    </row>
    <row r="7">
      <c r="A7" s="62"/>
      <c r="B7" s="64"/>
    </row>
    <row r="8">
      <c r="A8" s="62"/>
      <c r="B8" s="64"/>
    </row>
    <row r="9">
      <c r="A9" s="62"/>
      <c r="B9" s="64"/>
    </row>
    <row r="10">
      <c r="A10" s="62"/>
      <c r="B10" s="64"/>
    </row>
    <row r="11">
      <c r="A11" s="62"/>
      <c r="B11" s="64"/>
    </row>
    <row r="12">
      <c r="A12" s="62"/>
      <c r="B12" s="64"/>
    </row>
    <row r="13">
      <c r="A13" s="62"/>
      <c r="B13" s="64"/>
    </row>
    <row r="14">
      <c r="A14" s="62"/>
      <c r="B14" s="64"/>
    </row>
    <row r="15">
      <c r="A15" s="62"/>
      <c r="B15" s="64"/>
    </row>
    <row r="16">
      <c r="A16" s="62"/>
      <c r="B16" s="64"/>
    </row>
    <row r="17">
      <c r="A17" s="62"/>
      <c r="B17" s="64"/>
    </row>
    <row r="18">
      <c r="A18" s="62"/>
      <c r="B18" s="66"/>
    </row>
    <row r="19">
      <c r="A19" s="65"/>
      <c r="B19" s="64"/>
    </row>
    <row r="20">
      <c r="A20" s="65"/>
      <c r="B20" s="64"/>
    </row>
  </sheetData>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26.0"/>
    <col customWidth="1" min="3" max="3" width="62.63"/>
    <col customWidth="1" min="4" max="4" width="15.75"/>
    <col customWidth="1" min="5" max="5" width="15.0"/>
    <col customWidth="1" min="6" max="6" width="17.88"/>
    <col customWidth="1" min="7" max="7" width="15.75"/>
  </cols>
  <sheetData>
    <row r="1">
      <c r="A1" s="67" t="s">
        <v>177</v>
      </c>
      <c r="B1" s="68" t="s">
        <v>178</v>
      </c>
      <c r="C1" s="69" t="s">
        <v>179</v>
      </c>
      <c r="D1" s="70" t="s">
        <v>180</v>
      </c>
      <c r="E1" s="70" t="s">
        <v>181</v>
      </c>
      <c r="F1" s="70" t="s">
        <v>182</v>
      </c>
      <c r="G1" s="70" t="s">
        <v>183</v>
      </c>
    </row>
    <row r="2">
      <c r="A2" s="71"/>
      <c r="B2" s="72"/>
      <c r="C2" s="73"/>
      <c r="D2" s="73"/>
      <c r="E2" s="73"/>
      <c r="F2" s="73"/>
      <c r="G2" s="73"/>
    </row>
    <row r="3">
      <c r="A3" s="74" t="s">
        <v>184</v>
      </c>
      <c r="B3" s="75"/>
      <c r="C3" s="76"/>
      <c r="D3" s="76"/>
      <c r="E3" s="76"/>
      <c r="F3" s="76"/>
      <c r="G3" s="76"/>
    </row>
    <row r="4">
      <c r="A4" s="71"/>
      <c r="B4" s="72"/>
      <c r="C4" s="73"/>
      <c r="D4" s="73"/>
      <c r="E4" s="73"/>
      <c r="F4" s="73"/>
      <c r="G4" s="73"/>
    </row>
    <row r="5">
      <c r="A5" s="77" t="s">
        <v>185</v>
      </c>
      <c r="B5" s="78"/>
      <c r="C5" s="79"/>
      <c r="D5" s="80">
        <f>sum(D8:D15)</f>
        <v>65</v>
      </c>
      <c r="E5" s="80">
        <f>D5</f>
        <v>65</v>
      </c>
      <c r="F5" s="79"/>
      <c r="G5" s="79"/>
    </row>
    <row r="6">
      <c r="A6" s="71"/>
      <c r="B6" s="72"/>
      <c r="C6" s="73"/>
      <c r="D6" s="73"/>
      <c r="E6" s="73"/>
      <c r="F6" s="73"/>
      <c r="G6" s="73"/>
    </row>
    <row r="7">
      <c r="A7" s="81" t="s">
        <v>186</v>
      </c>
      <c r="B7" s="82"/>
      <c r="C7" s="83"/>
      <c r="D7" s="83"/>
      <c r="E7" s="83"/>
      <c r="F7" s="83"/>
      <c r="G7" s="83"/>
    </row>
    <row r="8">
      <c r="A8" s="71"/>
      <c r="B8" s="72"/>
      <c r="C8" s="73"/>
      <c r="D8" s="73"/>
      <c r="E8" s="84" t="s">
        <v>187</v>
      </c>
      <c r="F8" s="73"/>
      <c r="G8" s="84" t="s">
        <v>188</v>
      </c>
    </row>
    <row r="9">
      <c r="A9" s="85">
        <v>1.0</v>
      </c>
      <c r="B9" s="78" t="str">
        <f>'Sprint Goals'!B2</f>
        <v>None</v>
      </c>
      <c r="D9" s="80">
        <f>SUM(D19)</f>
        <v>0</v>
      </c>
      <c r="E9" s="80">
        <f>$D$5</f>
        <v>65</v>
      </c>
      <c r="F9" s="80">
        <f>sum(F18)</f>
        <v>0</v>
      </c>
      <c r="G9" s="80">
        <f>$D$5</f>
        <v>65</v>
      </c>
    </row>
    <row r="10">
      <c r="A10" s="71">
        <f t="shared" ref="A10:A11" si="1">A9+1</f>
        <v>2</v>
      </c>
      <c r="B10" s="78" t="str">
        <f>'Sprint Goals'!B3</f>
        <v>None</v>
      </c>
      <c r="D10" s="86">
        <f>SUM(D21:D26)</f>
        <v>11</v>
      </c>
      <c r="E10" s="86">
        <f t="shared" ref="E10:E14" si="2">E9-D10</f>
        <v>54</v>
      </c>
      <c r="F10" s="86">
        <f>SUM(F20:F26)</f>
        <v>11</v>
      </c>
      <c r="G10" s="86">
        <f t="shared" ref="G10:G14" si="3">G9-F10</f>
        <v>54</v>
      </c>
    </row>
    <row r="11">
      <c r="A11" s="85">
        <f t="shared" si="1"/>
        <v>3</v>
      </c>
      <c r="B11" s="78" t="str">
        <f>'Sprint Goals'!B4</f>
        <v>None</v>
      </c>
      <c r="D11" s="80">
        <f>SUM(D29:D33)</f>
        <v>9</v>
      </c>
      <c r="E11" s="80">
        <f t="shared" si="2"/>
        <v>45</v>
      </c>
      <c r="F11" s="80">
        <f>sum(F28:F33)</f>
        <v>10</v>
      </c>
      <c r="G11" s="80">
        <f t="shared" si="3"/>
        <v>44</v>
      </c>
    </row>
    <row r="12">
      <c r="A12" s="87">
        <v>4.0</v>
      </c>
      <c r="B12" s="88" t="str">
        <f>'Sprint Goals'!B5</f>
        <v>Optional</v>
      </c>
      <c r="C12" s="89"/>
      <c r="D12" s="86">
        <f>SUM(D35:D40)</f>
        <v>14</v>
      </c>
      <c r="E12" s="86">
        <f t="shared" si="2"/>
        <v>31</v>
      </c>
      <c r="F12" s="86">
        <f>SUM(F22:F29)</f>
        <v>12</v>
      </c>
      <c r="G12" s="86">
        <f t="shared" si="3"/>
        <v>32</v>
      </c>
    </row>
    <row r="13">
      <c r="A13" s="85">
        <f>A12+1</f>
        <v>5</v>
      </c>
      <c r="B13" s="78" t="str">
        <f>'Sprint Goals'!B6</f>
        <v>Establish a working foundation for the forecasting pipeline</v>
      </c>
      <c r="D13" s="80">
        <f>SUM(D43:D48)</f>
        <v>15</v>
      </c>
      <c r="E13" s="80">
        <f t="shared" si="2"/>
        <v>16</v>
      </c>
      <c r="F13" s="80">
        <f>SUM(F43:F48)</f>
        <v>13</v>
      </c>
      <c r="G13" s="80">
        <f t="shared" si="3"/>
        <v>19</v>
      </c>
    </row>
    <row r="14">
      <c r="A14" s="87">
        <v>6.0</v>
      </c>
      <c r="B14" s="88" t="str">
        <f>'Sprint Goals'!B7</f>
        <v>Integrate the pipeline into the existing software</v>
      </c>
      <c r="C14" s="89"/>
      <c r="D14" s="86">
        <f>SUM(D51:D57)</f>
        <v>16</v>
      </c>
      <c r="E14" s="86">
        <f t="shared" si="2"/>
        <v>0</v>
      </c>
      <c r="F14" s="86">
        <f>SUM(F51:F58)</f>
        <v>18</v>
      </c>
      <c r="G14" s="86">
        <f t="shared" si="3"/>
        <v>1</v>
      </c>
    </row>
    <row r="15">
      <c r="A15" s="85"/>
      <c r="B15" s="90"/>
      <c r="C15" s="79"/>
      <c r="D15" s="79"/>
      <c r="E15" s="79"/>
      <c r="F15" s="79"/>
      <c r="G15" s="79"/>
    </row>
    <row r="16">
      <c r="A16" s="91" t="s">
        <v>189</v>
      </c>
      <c r="B16" s="92"/>
      <c r="C16" s="93"/>
      <c r="D16" s="93"/>
      <c r="E16" s="93"/>
      <c r="F16" s="93"/>
      <c r="G16" s="93"/>
    </row>
    <row r="17">
      <c r="A17" s="85"/>
      <c r="B17" s="77"/>
      <c r="C17" s="79"/>
      <c r="D17" s="79"/>
      <c r="E17" s="79"/>
      <c r="F17" s="79"/>
      <c r="G17" s="79"/>
    </row>
    <row r="18">
      <c r="A18" s="94">
        <f t="shared" ref="A18:B18" si="4">A9</f>
        <v>1</v>
      </c>
      <c r="B18" s="95" t="str">
        <f t="shared" si="4"/>
        <v>None</v>
      </c>
      <c r="C18" s="73"/>
      <c r="D18" s="73"/>
      <c r="E18" s="73"/>
      <c r="F18" s="73"/>
      <c r="G18" s="73"/>
    </row>
    <row r="19">
      <c r="A19" s="85"/>
      <c r="B19" s="90"/>
      <c r="C19" s="79"/>
      <c r="D19" s="80"/>
      <c r="E19" s="79"/>
      <c r="F19" s="80"/>
      <c r="G19" s="79"/>
    </row>
    <row r="20">
      <c r="A20" s="94">
        <f t="shared" ref="A20:B20" si="5">A10</f>
        <v>2</v>
      </c>
      <c r="B20" s="95" t="str">
        <f t="shared" si="5"/>
        <v>None</v>
      </c>
      <c r="C20" s="73"/>
      <c r="D20" s="73"/>
      <c r="E20" s="73"/>
      <c r="F20" s="73"/>
      <c r="G20" s="73"/>
    </row>
    <row r="21">
      <c r="A21" s="85"/>
      <c r="B21" s="90"/>
      <c r="C21" s="96" t="s">
        <v>190</v>
      </c>
      <c r="D21" s="96">
        <v>1.0</v>
      </c>
      <c r="E21" s="96"/>
      <c r="F21" s="96">
        <v>1.0</v>
      </c>
      <c r="G21" s="79"/>
    </row>
    <row r="22">
      <c r="A22" s="97"/>
      <c r="B22" s="98"/>
      <c r="C22" s="88" t="s">
        <v>191</v>
      </c>
      <c r="D22" s="99">
        <v>2.0</v>
      </c>
      <c r="E22" s="98"/>
      <c r="F22" s="99">
        <v>2.0</v>
      </c>
      <c r="G22" s="98"/>
    </row>
    <row r="23">
      <c r="A23" s="85"/>
      <c r="B23" s="90"/>
      <c r="C23" s="44" t="s">
        <v>192</v>
      </c>
      <c r="D23" s="44">
        <v>2.0</v>
      </c>
      <c r="F23" s="44">
        <v>2.0</v>
      </c>
      <c r="G23" s="79"/>
    </row>
    <row r="24">
      <c r="A24" s="97"/>
      <c r="B24" s="98"/>
      <c r="C24" s="88" t="s">
        <v>193</v>
      </c>
      <c r="D24" s="99">
        <v>2.0</v>
      </c>
      <c r="E24" s="98"/>
      <c r="F24" s="99">
        <v>2.0</v>
      </c>
      <c r="G24" s="98"/>
    </row>
    <row r="25">
      <c r="A25" s="85"/>
      <c r="B25" s="90"/>
      <c r="C25" s="96" t="s">
        <v>194</v>
      </c>
      <c r="D25" s="100">
        <v>2.0</v>
      </c>
      <c r="E25" s="79"/>
      <c r="F25" s="100">
        <v>2.0</v>
      </c>
      <c r="G25" s="79"/>
    </row>
    <row r="26">
      <c r="A26" s="97"/>
      <c r="B26" s="98"/>
      <c r="C26" s="89" t="s">
        <v>195</v>
      </c>
      <c r="D26" s="99">
        <v>2.0</v>
      </c>
      <c r="E26" s="73"/>
      <c r="F26" s="99">
        <v>2.0</v>
      </c>
      <c r="G26" s="73"/>
    </row>
    <row r="27">
      <c r="A27" s="85"/>
      <c r="B27" s="90"/>
      <c r="C27" s="79"/>
      <c r="D27" s="80"/>
      <c r="E27" s="79"/>
      <c r="F27" s="79"/>
      <c r="G27" s="79"/>
    </row>
    <row r="28">
      <c r="A28" s="94">
        <f t="shared" ref="A28:B28" si="6">A11</f>
        <v>3</v>
      </c>
      <c r="B28" s="95" t="str">
        <f t="shared" si="6"/>
        <v>None</v>
      </c>
      <c r="C28" s="73"/>
      <c r="D28" s="73"/>
      <c r="E28" s="73"/>
      <c r="F28" s="73"/>
      <c r="G28" s="73"/>
    </row>
    <row r="29">
      <c r="A29" s="85"/>
      <c r="B29" s="90"/>
      <c r="C29" s="96" t="s">
        <v>196</v>
      </c>
      <c r="D29" s="96">
        <v>2.0</v>
      </c>
      <c r="E29" s="79"/>
      <c r="F29" s="96">
        <v>2.0</v>
      </c>
      <c r="G29" s="79"/>
    </row>
    <row r="30">
      <c r="A30" s="97"/>
      <c r="B30" s="98"/>
      <c r="C30" s="88" t="s">
        <v>197</v>
      </c>
      <c r="D30" s="99">
        <v>1.0</v>
      </c>
      <c r="E30" s="98"/>
      <c r="F30" s="88">
        <v>1.0</v>
      </c>
      <c r="G30" s="98"/>
    </row>
    <row r="31">
      <c r="A31" s="85"/>
      <c r="B31" s="90"/>
      <c r="C31" s="96" t="s">
        <v>198</v>
      </c>
      <c r="D31" s="100">
        <v>1.0</v>
      </c>
      <c r="E31" s="79"/>
      <c r="F31" s="96">
        <v>2.0</v>
      </c>
      <c r="G31" s="79"/>
    </row>
    <row r="32">
      <c r="A32" s="97"/>
      <c r="B32" s="98"/>
      <c r="C32" s="88" t="s">
        <v>199</v>
      </c>
      <c r="D32" s="99">
        <v>3.0</v>
      </c>
      <c r="E32" s="98"/>
      <c r="F32" s="88">
        <v>3.0</v>
      </c>
      <c r="G32" s="98"/>
    </row>
    <row r="33">
      <c r="A33" s="85"/>
      <c r="B33" s="90"/>
      <c r="C33" s="96" t="s">
        <v>195</v>
      </c>
      <c r="D33" s="100">
        <v>2.0</v>
      </c>
      <c r="E33" s="79"/>
      <c r="F33" s="100">
        <v>2.0</v>
      </c>
      <c r="G33" s="79"/>
    </row>
    <row r="34">
      <c r="A34" s="97">
        <f t="shared" ref="A34:B34" si="7">A12</f>
        <v>4</v>
      </c>
      <c r="B34" s="95" t="str">
        <f t="shared" si="7"/>
        <v>Optional</v>
      </c>
      <c r="C34" s="98"/>
      <c r="D34" s="86"/>
      <c r="E34" s="98"/>
      <c r="F34" s="98"/>
      <c r="G34" s="98"/>
    </row>
    <row r="35">
      <c r="A35" s="85"/>
      <c r="B35" s="90"/>
      <c r="C35" s="96" t="s">
        <v>200</v>
      </c>
      <c r="D35" s="100">
        <v>2.0</v>
      </c>
      <c r="E35" s="79"/>
      <c r="F35" s="101" t="s">
        <v>201</v>
      </c>
      <c r="G35" s="79"/>
    </row>
    <row r="36">
      <c r="A36" s="97"/>
      <c r="B36" s="98"/>
      <c r="C36" s="88" t="s">
        <v>202</v>
      </c>
      <c r="D36" s="99">
        <v>2.0</v>
      </c>
      <c r="E36" s="98"/>
      <c r="F36" s="88">
        <v>3.0</v>
      </c>
      <c r="G36" s="98"/>
    </row>
    <row r="37">
      <c r="A37" s="85"/>
      <c r="B37" s="90"/>
      <c r="C37" s="96" t="s">
        <v>203</v>
      </c>
      <c r="D37" s="100">
        <v>3.0</v>
      </c>
      <c r="E37" s="79"/>
      <c r="F37" s="96">
        <v>3.0</v>
      </c>
      <c r="G37" s="79"/>
    </row>
    <row r="38">
      <c r="A38" s="97"/>
      <c r="B38" s="98"/>
      <c r="C38" s="88" t="s">
        <v>204</v>
      </c>
      <c r="D38" s="99">
        <v>2.0</v>
      </c>
      <c r="E38" s="98"/>
      <c r="F38" s="88">
        <v>2.0</v>
      </c>
      <c r="G38" s="98"/>
    </row>
    <row r="39">
      <c r="A39" s="85"/>
      <c r="B39" s="90"/>
      <c r="C39" s="96" t="s">
        <v>205</v>
      </c>
      <c r="D39" s="100">
        <v>2.0</v>
      </c>
      <c r="E39" s="79"/>
      <c r="F39" s="101">
        <v>2.0</v>
      </c>
      <c r="G39" s="79"/>
    </row>
    <row r="40">
      <c r="A40" s="97"/>
      <c r="B40" s="98"/>
      <c r="C40" s="88" t="s">
        <v>206</v>
      </c>
      <c r="D40" s="99">
        <v>3.0</v>
      </c>
      <c r="E40" s="98"/>
      <c r="F40" s="88">
        <v>2.0</v>
      </c>
      <c r="G40" s="98"/>
    </row>
    <row r="41">
      <c r="A41" s="85"/>
      <c r="B41" s="90"/>
      <c r="C41" s="79"/>
      <c r="D41" s="80"/>
      <c r="E41" s="79"/>
      <c r="F41" s="79"/>
      <c r="G41" s="79"/>
    </row>
    <row r="42">
      <c r="A42" s="97">
        <f t="shared" ref="A42:B42" si="8">A13</f>
        <v>5</v>
      </c>
      <c r="B42" s="95" t="str">
        <f t="shared" si="8"/>
        <v>Establish a working foundation for the forecasting pipeline</v>
      </c>
      <c r="C42" s="98"/>
      <c r="D42" s="86"/>
      <c r="E42" s="98"/>
      <c r="F42" s="98"/>
      <c r="G42" s="98"/>
    </row>
    <row r="43">
      <c r="A43" s="85"/>
      <c r="B43" s="90"/>
      <c r="C43" s="96" t="s">
        <v>207</v>
      </c>
      <c r="D43" s="100">
        <v>2.0</v>
      </c>
      <c r="E43" s="79"/>
      <c r="F43" s="96">
        <v>2.0</v>
      </c>
      <c r="G43" s="79"/>
    </row>
    <row r="44">
      <c r="A44" s="97"/>
      <c r="B44" s="98"/>
      <c r="C44" s="88" t="s">
        <v>208</v>
      </c>
      <c r="D44" s="99">
        <v>2.0</v>
      </c>
      <c r="E44" s="98"/>
      <c r="F44" s="88">
        <v>2.0</v>
      </c>
      <c r="G44" s="98"/>
    </row>
    <row r="45">
      <c r="A45" s="85"/>
      <c r="B45" s="90"/>
      <c r="C45" s="96" t="s">
        <v>209</v>
      </c>
      <c r="D45" s="100">
        <v>3.0</v>
      </c>
      <c r="E45" s="79"/>
      <c r="F45" s="96">
        <v>3.0</v>
      </c>
      <c r="G45" s="79"/>
    </row>
    <row r="46">
      <c r="A46" s="97"/>
      <c r="B46" s="98"/>
      <c r="C46" s="88" t="s">
        <v>210</v>
      </c>
      <c r="D46" s="99">
        <v>2.0</v>
      </c>
      <c r="E46" s="98"/>
      <c r="F46" s="88">
        <v>1.0</v>
      </c>
      <c r="G46" s="98"/>
    </row>
    <row r="47">
      <c r="A47" s="85"/>
      <c r="B47" s="90"/>
      <c r="C47" s="96" t="s">
        <v>211</v>
      </c>
      <c r="D47" s="100">
        <v>3.0</v>
      </c>
      <c r="E47" s="79"/>
      <c r="F47" s="96">
        <v>3.0</v>
      </c>
      <c r="G47" s="79"/>
    </row>
    <row r="48">
      <c r="A48" s="97"/>
      <c r="B48" s="98"/>
      <c r="C48" s="88" t="s">
        <v>212</v>
      </c>
      <c r="D48" s="99">
        <v>3.0</v>
      </c>
      <c r="E48" s="98"/>
      <c r="F48" s="88">
        <v>2.0</v>
      </c>
      <c r="G48" s="98"/>
    </row>
    <row r="49">
      <c r="A49" s="85"/>
      <c r="B49" s="90"/>
      <c r="C49" s="79"/>
      <c r="D49" s="80"/>
      <c r="E49" s="79"/>
      <c r="F49" s="79"/>
      <c r="G49" s="79"/>
    </row>
    <row r="50">
      <c r="A50" s="87">
        <v>6.0</v>
      </c>
      <c r="B50" s="95" t="str">
        <f>B14</f>
        <v>Integrate the pipeline into the existing software</v>
      </c>
      <c r="C50" s="98"/>
      <c r="D50" s="86"/>
      <c r="E50" s="98"/>
      <c r="F50" s="98"/>
      <c r="G50" s="98"/>
    </row>
    <row r="51">
      <c r="A51" s="85"/>
      <c r="B51" s="90"/>
      <c r="C51" s="96" t="s">
        <v>213</v>
      </c>
      <c r="D51" s="100">
        <v>3.0</v>
      </c>
      <c r="E51" s="79"/>
      <c r="F51" s="96">
        <v>3.0</v>
      </c>
      <c r="G51" s="79"/>
    </row>
    <row r="52">
      <c r="A52" s="97"/>
      <c r="B52" s="98"/>
      <c r="C52" s="88" t="s">
        <v>214</v>
      </c>
      <c r="D52" s="99">
        <v>2.0</v>
      </c>
      <c r="E52" s="98"/>
      <c r="F52" s="88">
        <v>2.0</v>
      </c>
      <c r="G52" s="98"/>
    </row>
    <row r="53">
      <c r="A53" s="85"/>
      <c r="B53" s="90"/>
      <c r="C53" s="96" t="s">
        <v>215</v>
      </c>
      <c r="D53" s="100">
        <v>2.0</v>
      </c>
      <c r="E53" s="79"/>
      <c r="F53" s="96">
        <v>2.0</v>
      </c>
      <c r="G53" s="79"/>
    </row>
    <row r="54">
      <c r="A54" s="97"/>
      <c r="B54" s="98"/>
      <c r="C54" s="88" t="s">
        <v>216</v>
      </c>
      <c r="D54" s="99">
        <v>2.0</v>
      </c>
      <c r="E54" s="98"/>
      <c r="F54" s="88">
        <v>2.0</v>
      </c>
      <c r="G54" s="98"/>
    </row>
    <row r="55">
      <c r="A55" s="85"/>
      <c r="B55" s="90"/>
      <c r="C55" s="96" t="s">
        <v>217</v>
      </c>
      <c r="D55" s="100">
        <v>3.0</v>
      </c>
      <c r="E55" s="79"/>
      <c r="F55" s="96">
        <v>5.0</v>
      </c>
      <c r="G55" s="79"/>
    </row>
    <row r="56">
      <c r="A56" s="97"/>
      <c r="B56" s="98"/>
      <c r="C56" s="88" t="s">
        <v>218</v>
      </c>
      <c r="D56" s="99">
        <v>1.0</v>
      </c>
      <c r="E56" s="98"/>
      <c r="F56" s="99">
        <v>1.0</v>
      </c>
      <c r="G56" s="98"/>
    </row>
    <row r="57">
      <c r="A57" s="85"/>
      <c r="B57" s="90"/>
      <c r="C57" s="96" t="s">
        <v>219</v>
      </c>
      <c r="D57" s="100">
        <v>3.0</v>
      </c>
      <c r="E57" s="79"/>
      <c r="F57" s="96">
        <v>3.0</v>
      </c>
      <c r="G57" s="79"/>
    </row>
    <row r="58">
      <c r="A58" s="97"/>
      <c r="B58" s="98"/>
      <c r="C58" s="88"/>
      <c r="D58" s="99"/>
      <c r="E58" s="98"/>
      <c r="F58" s="98"/>
      <c r="G58" s="98"/>
    </row>
    <row r="59">
      <c r="A59" s="85"/>
      <c r="B59" s="90"/>
      <c r="C59" s="79"/>
      <c r="D59" s="80"/>
      <c r="E59" s="79"/>
      <c r="F59" s="79"/>
      <c r="G59" s="79"/>
    </row>
    <row r="60">
      <c r="A60" s="97"/>
      <c r="B60" s="98"/>
      <c r="C60" s="98"/>
      <c r="D60" s="86"/>
      <c r="E60" s="98"/>
      <c r="F60" s="98"/>
      <c r="G60" s="98"/>
    </row>
    <row r="61">
      <c r="A61" s="85"/>
      <c r="B61" s="90"/>
      <c r="C61" s="79"/>
      <c r="D61" s="80"/>
      <c r="E61" s="79"/>
      <c r="F61" s="79"/>
      <c r="G61" s="79"/>
    </row>
    <row r="62">
      <c r="A62" s="97"/>
      <c r="B62" s="98"/>
      <c r="C62" s="98"/>
      <c r="D62" s="86"/>
      <c r="E62" s="98"/>
      <c r="F62" s="98"/>
      <c r="G62" s="98"/>
    </row>
    <row r="63">
      <c r="A63" s="85"/>
      <c r="B63" s="90"/>
      <c r="C63" s="79"/>
      <c r="D63" s="80"/>
      <c r="E63" s="79"/>
      <c r="F63" s="79"/>
      <c r="G63" s="79"/>
    </row>
    <row r="64">
      <c r="A64" s="97"/>
      <c r="B64" s="98"/>
      <c r="C64" s="98"/>
      <c r="D64" s="86"/>
      <c r="E64" s="98"/>
      <c r="F64" s="98"/>
      <c r="G64" s="98"/>
    </row>
    <row r="65">
      <c r="A65" s="85"/>
      <c r="B65" s="90"/>
      <c r="C65" s="79"/>
      <c r="D65" s="80"/>
      <c r="E65" s="79"/>
      <c r="F65" s="79"/>
      <c r="G65" s="79"/>
    </row>
    <row r="66">
      <c r="A66" s="97"/>
      <c r="B66" s="98"/>
      <c r="C66" s="98"/>
      <c r="D66" s="86"/>
      <c r="E66" s="98"/>
      <c r="F66" s="98"/>
      <c r="G66" s="98"/>
    </row>
    <row r="67">
      <c r="A67" s="85"/>
      <c r="B67" s="90"/>
      <c r="C67" s="79"/>
      <c r="D67" s="80"/>
      <c r="E67" s="79"/>
      <c r="F67" s="79"/>
      <c r="G67" s="79"/>
    </row>
    <row r="68">
      <c r="A68" s="97"/>
      <c r="B68" s="98"/>
      <c r="C68" s="98"/>
      <c r="D68" s="86"/>
      <c r="E68" s="98"/>
      <c r="F68" s="98"/>
      <c r="G68" s="98"/>
    </row>
    <row r="69">
      <c r="A69" s="85"/>
      <c r="B69" s="90"/>
      <c r="C69" s="79"/>
      <c r="D69" s="80"/>
      <c r="E69" s="79"/>
      <c r="F69" s="79"/>
      <c r="G69" s="79"/>
    </row>
    <row r="70">
      <c r="A70" s="97"/>
      <c r="B70" s="98"/>
      <c r="C70" s="102" t="s">
        <v>220</v>
      </c>
      <c r="D70" s="73"/>
      <c r="E70" s="73"/>
      <c r="F70" s="73"/>
      <c r="G70" s="73"/>
    </row>
    <row r="71">
      <c r="A71" s="97"/>
      <c r="B71" s="98"/>
      <c r="C71" s="73"/>
      <c r="D71" s="73"/>
      <c r="E71" s="73"/>
      <c r="F71" s="73"/>
      <c r="G71" s="73"/>
    </row>
    <row r="72">
      <c r="A72" s="97"/>
      <c r="B72" s="98"/>
      <c r="C72" s="73"/>
      <c r="D72" s="73"/>
      <c r="E72" s="73"/>
      <c r="F72" s="73"/>
      <c r="G72" s="73"/>
    </row>
    <row r="73">
      <c r="A73" s="97"/>
      <c r="B73" s="98"/>
      <c r="C73" s="73"/>
      <c r="D73" s="73"/>
      <c r="E73" s="73"/>
      <c r="F73" s="73"/>
      <c r="G73" s="73"/>
    </row>
    <row r="74">
      <c r="A74" s="97"/>
      <c r="B74" s="98"/>
      <c r="C74" s="73"/>
      <c r="D74" s="73"/>
      <c r="E74" s="73"/>
      <c r="F74" s="73"/>
      <c r="G74" s="73"/>
    </row>
    <row r="75">
      <c r="A75" s="97"/>
      <c r="B75" s="98"/>
      <c r="C75" s="73"/>
      <c r="D75" s="73"/>
      <c r="E75" s="73"/>
      <c r="F75" s="73"/>
      <c r="G75" s="73"/>
    </row>
    <row r="76">
      <c r="A76" s="97"/>
      <c r="B76" s="98"/>
      <c r="C76" s="73"/>
      <c r="D76" s="73"/>
      <c r="E76" s="73"/>
      <c r="F76" s="73"/>
      <c r="G76" s="73"/>
    </row>
    <row r="77">
      <c r="A77" s="97"/>
      <c r="B77" s="98"/>
      <c r="C77" s="73"/>
      <c r="D77" s="73"/>
      <c r="E77" s="73"/>
      <c r="F77" s="73"/>
      <c r="G77" s="73"/>
    </row>
    <row r="78">
      <c r="A78" s="97"/>
      <c r="B78" s="98"/>
      <c r="C78" s="73"/>
      <c r="D78" s="73"/>
      <c r="E78" s="73"/>
      <c r="F78" s="73"/>
      <c r="G78" s="73"/>
    </row>
    <row r="79">
      <c r="A79" s="97"/>
      <c r="B79" s="98"/>
      <c r="C79" s="73"/>
      <c r="D79" s="73"/>
      <c r="E79" s="73"/>
      <c r="F79" s="73"/>
      <c r="G79" s="73"/>
    </row>
    <row r="80">
      <c r="A80" s="97"/>
      <c r="B80" s="98"/>
      <c r="C80" s="73"/>
      <c r="D80" s="73"/>
      <c r="E80" s="73"/>
      <c r="F80" s="73"/>
      <c r="G80" s="73"/>
    </row>
    <row r="81">
      <c r="A81" s="97"/>
      <c r="B81" s="98"/>
      <c r="C81" s="73"/>
      <c r="D81" s="73"/>
      <c r="E81" s="73"/>
      <c r="F81" s="73"/>
      <c r="G81" s="73"/>
    </row>
    <row r="82">
      <c r="A82" s="97"/>
      <c r="B82" s="98"/>
      <c r="C82" s="73"/>
      <c r="D82" s="73"/>
      <c r="E82" s="73"/>
      <c r="F82" s="73"/>
      <c r="G82" s="73"/>
    </row>
    <row r="83">
      <c r="A83" s="97"/>
      <c r="B83" s="98"/>
      <c r="C83" s="73"/>
      <c r="D83" s="73"/>
      <c r="E83" s="73"/>
      <c r="F83" s="73"/>
      <c r="G83" s="73"/>
    </row>
    <row r="84">
      <c r="A84" s="97"/>
      <c r="B84" s="98"/>
      <c r="C84" s="73"/>
      <c r="D84" s="73"/>
      <c r="E84" s="73"/>
      <c r="F84" s="73"/>
      <c r="G84" s="73"/>
    </row>
    <row r="85">
      <c r="A85" s="97"/>
      <c r="B85" s="98"/>
      <c r="C85" s="73"/>
      <c r="D85" s="73"/>
      <c r="E85" s="73"/>
      <c r="F85" s="73"/>
      <c r="G85" s="73"/>
    </row>
    <row r="86">
      <c r="A86" s="97"/>
      <c r="B86" s="98"/>
      <c r="C86" s="73"/>
      <c r="D86" s="73"/>
      <c r="E86" s="73"/>
      <c r="F86" s="73"/>
      <c r="G86" s="73"/>
    </row>
    <row r="87">
      <c r="A87" s="97"/>
      <c r="B87" s="98"/>
      <c r="C87" s="73"/>
      <c r="D87" s="73"/>
      <c r="E87" s="73"/>
      <c r="F87" s="73"/>
      <c r="G87" s="73"/>
    </row>
    <row r="88">
      <c r="A88" s="97"/>
      <c r="B88" s="98"/>
      <c r="C88" s="73"/>
      <c r="D88" s="73"/>
      <c r="E88" s="73"/>
      <c r="F88" s="73"/>
      <c r="G88" s="73"/>
    </row>
    <row r="89">
      <c r="A89" s="97"/>
      <c r="B89" s="98"/>
      <c r="C89" s="73"/>
      <c r="D89" s="73"/>
      <c r="E89" s="73"/>
      <c r="F89" s="73"/>
      <c r="G89" s="73"/>
    </row>
    <row r="90">
      <c r="A90" s="97"/>
      <c r="B90" s="98"/>
      <c r="C90" s="73"/>
      <c r="D90" s="73"/>
      <c r="E90" s="73"/>
      <c r="F90" s="73"/>
      <c r="G90" s="73"/>
    </row>
    <row r="91">
      <c r="A91" s="97"/>
      <c r="B91" s="98"/>
      <c r="C91" s="73"/>
      <c r="D91" s="73"/>
      <c r="E91" s="73"/>
      <c r="F91" s="73"/>
      <c r="G91" s="73"/>
    </row>
    <row r="92">
      <c r="A92" s="97"/>
      <c r="B92" s="98"/>
      <c r="C92" s="73"/>
      <c r="D92" s="73"/>
      <c r="E92" s="73"/>
      <c r="F92" s="73"/>
      <c r="G92" s="73"/>
    </row>
    <row r="93">
      <c r="A93" s="97"/>
      <c r="B93" s="98"/>
      <c r="C93" s="73"/>
      <c r="D93" s="73"/>
      <c r="E93" s="73"/>
      <c r="F93" s="73"/>
      <c r="G93" s="73"/>
    </row>
    <row r="94">
      <c r="A94" s="97"/>
      <c r="B94" s="98"/>
      <c r="C94" s="73"/>
      <c r="D94" s="73"/>
      <c r="E94" s="73"/>
      <c r="F94" s="73"/>
      <c r="G94" s="73"/>
    </row>
    <row r="95">
      <c r="A95" s="97"/>
      <c r="B95" s="98"/>
      <c r="C95" s="73"/>
      <c r="D95" s="73"/>
      <c r="E95" s="73"/>
      <c r="F95" s="73"/>
      <c r="G95" s="73"/>
    </row>
    <row r="96">
      <c r="A96" s="97"/>
      <c r="B96" s="98"/>
      <c r="C96" s="73"/>
      <c r="D96" s="73"/>
      <c r="E96" s="73"/>
      <c r="F96" s="73"/>
      <c r="G96" s="73"/>
    </row>
    <row r="97">
      <c r="A97" s="97"/>
      <c r="B97" s="98"/>
      <c r="C97" s="73"/>
      <c r="D97" s="73"/>
      <c r="E97" s="73"/>
      <c r="F97" s="73"/>
      <c r="G97" s="73"/>
    </row>
    <row r="98">
      <c r="A98" s="97"/>
      <c r="B98" s="98"/>
      <c r="C98" s="73"/>
      <c r="D98" s="73"/>
      <c r="E98" s="73"/>
      <c r="F98" s="73"/>
      <c r="G98" s="73"/>
    </row>
    <row r="99">
      <c r="A99" s="97"/>
      <c r="B99" s="98"/>
      <c r="C99" s="73"/>
      <c r="D99" s="73"/>
      <c r="E99" s="73"/>
      <c r="F99" s="73"/>
      <c r="G99" s="73"/>
    </row>
    <row r="100">
      <c r="A100" s="97"/>
      <c r="B100" s="98"/>
      <c r="C100" s="73"/>
      <c r="D100" s="73"/>
      <c r="E100" s="73"/>
      <c r="F100" s="73"/>
      <c r="G100" s="73"/>
    </row>
    <row r="101">
      <c r="A101" s="97"/>
      <c r="B101" s="98"/>
      <c r="C101" s="73"/>
      <c r="D101" s="73"/>
      <c r="E101" s="73"/>
      <c r="F101" s="73"/>
      <c r="G101" s="73"/>
    </row>
    <row r="102">
      <c r="A102" s="97"/>
      <c r="B102" s="98"/>
      <c r="C102" s="73"/>
      <c r="D102" s="73"/>
      <c r="E102" s="73"/>
      <c r="F102" s="73"/>
      <c r="G102" s="73"/>
    </row>
    <row r="103">
      <c r="A103" s="97"/>
      <c r="B103" s="98"/>
      <c r="C103" s="73"/>
      <c r="D103" s="73"/>
      <c r="E103" s="73"/>
      <c r="F103" s="73"/>
      <c r="G103" s="73"/>
    </row>
    <row r="104">
      <c r="A104" s="97"/>
      <c r="B104" s="98"/>
      <c r="C104" s="73"/>
      <c r="D104" s="73"/>
      <c r="E104" s="73"/>
      <c r="F104" s="73"/>
      <c r="G104" s="73"/>
    </row>
    <row r="105">
      <c r="A105" s="97"/>
      <c r="B105" s="98"/>
      <c r="C105" s="73"/>
      <c r="D105" s="73"/>
      <c r="E105" s="73"/>
      <c r="F105" s="73"/>
      <c r="G105" s="73"/>
    </row>
    <row r="106">
      <c r="A106" s="97"/>
      <c r="B106" s="98"/>
      <c r="C106" s="73"/>
      <c r="D106" s="73"/>
      <c r="E106" s="73"/>
      <c r="F106" s="73"/>
      <c r="G106" s="73"/>
    </row>
    <row r="107">
      <c r="A107" s="97"/>
      <c r="B107" s="98"/>
      <c r="C107" s="73"/>
      <c r="D107" s="73"/>
      <c r="E107" s="73"/>
      <c r="F107" s="73"/>
      <c r="G107" s="73"/>
    </row>
    <row r="108">
      <c r="A108" s="97"/>
      <c r="B108" s="98"/>
      <c r="C108" s="73"/>
      <c r="D108" s="73"/>
      <c r="E108" s="73"/>
      <c r="F108" s="73"/>
      <c r="G108" s="73"/>
    </row>
    <row r="109">
      <c r="A109" s="97"/>
      <c r="B109" s="98"/>
      <c r="C109" s="73"/>
      <c r="D109" s="73"/>
      <c r="E109" s="73"/>
      <c r="F109" s="73"/>
      <c r="G109" s="73"/>
    </row>
    <row r="110">
      <c r="A110" s="97"/>
      <c r="B110" s="98"/>
      <c r="C110" s="73"/>
      <c r="D110" s="73"/>
      <c r="E110" s="73"/>
      <c r="F110" s="73"/>
      <c r="G110" s="73"/>
    </row>
    <row r="111">
      <c r="A111" s="97"/>
      <c r="B111" s="98"/>
      <c r="C111" s="73"/>
      <c r="D111" s="73"/>
      <c r="E111" s="73"/>
      <c r="F111" s="73"/>
      <c r="G111" s="73"/>
    </row>
    <row r="112">
      <c r="A112" s="97"/>
      <c r="B112" s="98"/>
      <c r="C112" s="73"/>
      <c r="D112" s="73"/>
      <c r="E112" s="73"/>
      <c r="F112" s="73"/>
      <c r="G112" s="73"/>
    </row>
    <row r="113">
      <c r="A113" s="97"/>
      <c r="B113" s="98"/>
      <c r="C113" s="73"/>
      <c r="D113" s="73"/>
      <c r="E113" s="73"/>
      <c r="F113" s="73"/>
      <c r="G113" s="73"/>
    </row>
    <row r="114">
      <c r="A114" s="97"/>
      <c r="B114" s="98"/>
      <c r="C114" s="73"/>
      <c r="D114" s="73"/>
      <c r="E114" s="73"/>
      <c r="F114" s="73"/>
      <c r="G114" s="73"/>
    </row>
    <row r="115">
      <c r="A115" s="97"/>
      <c r="B115" s="98"/>
      <c r="C115" s="73"/>
      <c r="D115" s="73"/>
      <c r="E115" s="73"/>
      <c r="F115" s="73"/>
      <c r="G115" s="73"/>
    </row>
    <row r="116">
      <c r="A116" s="97"/>
      <c r="B116" s="98"/>
      <c r="C116" s="73"/>
      <c r="D116" s="73"/>
      <c r="E116" s="73"/>
      <c r="F116" s="73"/>
      <c r="G116" s="73"/>
    </row>
    <row r="117">
      <c r="A117" s="97"/>
      <c r="B117" s="98"/>
      <c r="C117" s="73"/>
      <c r="D117" s="73"/>
      <c r="E117" s="73"/>
      <c r="F117" s="73"/>
      <c r="G117" s="73"/>
    </row>
    <row r="118">
      <c r="A118" s="97"/>
      <c r="B118" s="98"/>
      <c r="C118" s="73"/>
      <c r="D118" s="73"/>
      <c r="E118" s="73"/>
      <c r="F118" s="73"/>
      <c r="G118" s="73"/>
    </row>
    <row r="119">
      <c r="A119" s="97"/>
      <c r="B119" s="98"/>
      <c r="C119" s="73"/>
      <c r="D119" s="73"/>
      <c r="E119" s="73"/>
      <c r="F119" s="73"/>
      <c r="G119" s="73"/>
    </row>
    <row r="120">
      <c r="A120" s="97"/>
      <c r="B120" s="98"/>
      <c r="C120" s="73"/>
      <c r="D120" s="73"/>
      <c r="E120" s="73"/>
      <c r="F120" s="73"/>
      <c r="G120" s="73"/>
    </row>
    <row r="121">
      <c r="A121" s="97"/>
      <c r="B121" s="98"/>
      <c r="C121" s="73"/>
      <c r="D121" s="73"/>
      <c r="E121" s="73"/>
      <c r="F121" s="73"/>
      <c r="G121" s="73"/>
    </row>
    <row r="122">
      <c r="A122" s="97"/>
      <c r="B122" s="98"/>
      <c r="C122" s="73"/>
      <c r="D122" s="73"/>
      <c r="E122" s="73"/>
      <c r="F122" s="73"/>
      <c r="G122" s="73"/>
    </row>
    <row r="123">
      <c r="A123" s="97"/>
      <c r="B123" s="98"/>
      <c r="C123" s="73"/>
      <c r="D123" s="73"/>
      <c r="E123" s="73"/>
      <c r="F123" s="73"/>
      <c r="G123" s="73"/>
    </row>
    <row r="124">
      <c r="A124" s="97"/>
      <c r="B124" s="98"/>
      <c r="C124" s="73"/>
      <c r="D124" s="73"/>
      <c r="E124" s="73"/>
      <c r="F124" s="73"/>
      <c r="G124" s="73"/>
    </row>
    <row r="125">
      <c r="A125" s="97"/>
      <c r="B125" s="98"/>
      <c r="C125" s="73"/>
      <c r="D125" s="73"/>
      <c r="E125" s="73"/>
      <c r="F125" s="73"/>
      <c r="G125" s="73"/>
    </row>
    <row r="126">
      <c r="A126" s="97"/>
      <c r="B126" s="98"/>
      <c r="C126" s="73"/>
      <c r="D126" s="73"/>
      <c r="E126" s="73"/>
      <c r="F126" s="73"/>
      <c r="G126" s="73"/>
    </row>
    <row r="127">
      <c r="A127" s="97"/>
      <c r="B127" s="98"/>
      <c r="C127" s="73"/>
      <c r="D127" s="73"/>
      <c r="E127" s="73"/>
      <c r="F127" s="73"/>
      <c r="G127" s="73"/>
    </row>
    <row r="128">
      <c r="A128" s="97"/>
      <c r="B128" s="98"/>
      <c r="C128" s="73"/>
      <c r="D128" s="73"/>
      <c r="E128" s="73"/>
      <c r="F128" s="73"/>
      <c r="G128" s="73"/>
    </row>
    <row r="129">
      <c r="A129" s="97"/>
      <c r="B129" s="98"/>
      <c r="C129" s="73"/>
      <c r="D129" s="73"/>
      <c r="E129" s="73"/>
      <c r="F129" s="73"/>
      <c r="G129" s="73"/>
    </row>
    <row r="130">
      <c r="A130" s="97"/>
      <c r="B130" s="98"/>
      <c r="C130" s="73"/>
      <c r="D130" s="73"/>
      <c r="E130" s="73"/>
      <c r="F130" s="73"/>
      <c r="G130" s="73"/>
    </row>
    <row r="131">
      <c r="A131" s="97"/>
      <c r="B131" s="98"/>
      <c r="C131" s="73"/>
      <c r="D131" s="73"/>
      <c r="E131" s="73"/>
      <c r="F131" s="73"/>
      <c r="G131" s="73"/>
    </row>
    <row r="132">
      <c r="A132" s="97"/>
      <c r="B132" s="98"/>
      <c r="C132" s="73"/>
      <c r="D132" s="73"/>
      <c r="E132" s="73"/>
      <c r="F132" s="73"/>
      <c r="G132" s="73"/>
    </row>
  </sheetData>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28.38"/>
    <col customWidth="1" min="3" max="3" width="62.63"/>
    <col customWidth="1" min="4" max="7" width="15.75"/>
  </cols>
  <sheetData>
    <row r="1">
      <c r="A1" s="67" t="s">
        <v>177</v>
      </c>
      <c r="B1" s="68" t="s">
        <v>178</v>
      </c>
      <c r="C1" s="69" t="s">
        <v>179</v>
      </c>
      <c r="D1" s="70" t="s">
        <v>180</v>
      </c>
      <c r="E1" s="70" t="s">
        <v>181</v>
      </c>
      <c r="F1" s="70" t="s">
        <v>182</v>
      </c>
      <c r="G1" s="70" t="s">
        <v>183</v>
      </c>
    </row>
    <row r="2">
      <c r="A2" s="71"/>
      <c r="B2" s="72"/>
      <c r="C2" s="73"/>
      <c r="D2" s="73"/>
      <c r="E2" s="73"/>
      <c r="F2" s="73"/>
      <c r="G2" s="73"/>
    </row>
    <row r="3">
      <c r="A3" s="74" t="s">
        <v>184</v>
      </c>
      <c r="B3" s="75"/>
      <c r="C3" s="76"/>
      <c r="D3" s="76"/>
      <c r="E3" s="76"/>
      <c r="F3" s="76"/>
      <c r="G3" s="76"/>
    </row>
    <row r="4">
      <c r="A4" s="71"/>
      <c r="B4" s="72"/>
      <c r="C4" s="73"/>
      <c r="D4" s="73"/>
      <c r="E4" s="73"/>
      <c r="F4" s="73"/>
      <c r="G4" s="73"/>
    </row>
    <row r="5">
      <c r="A5" s="77" t="s">
        <v>185</v>
      </c>
      <c r="B5" s="78"/>
      <c r="C5" s="79"/>
      <c r="D5" s="80">
        <f>SUM(D9:D16)</f>
        <v>113</v>
      </c>
      <c r="E5" s="80">
        <f>D5</f>
        <v>113</v>
      </c>
      <c r="F5" s="79"/>
      <c r="G5" s="79"/>
    </row>
    <row r="6">
      <c r="A6" s="71"/>
      <c r="B6" s="72"/>
      <c r="C6" s="73"/>
      <c r="D6" s="73"/>
      <c r="E6" s="73"/>
      <c r="F6" s="73"/>
      <c r="G6" s="73"/>
    </row>
    <row r="7">
      <c r="A7" s="81" t="s">
        <v>186</v>
      </c>
      <c r="B7" s="82"/>
      <c r="C7" s="83"/>
      <c r="D7" s="83"/>
      <c r="E7" s="83"/>
      <c r="F7" s="83"/>
      <c r="G7" s="83"/>
    </row>
    <row r="8">
      <c r="A8" s="71"/>
      <c r="B8" s="72"/>
      <c r="C8" s="73"/>
      <c r="D8" s="73"/>
      <c r="E8" s="84" t="s">
        <v>187</v>
      </c>
      <c r="F8" s="73"/>
      <c r="G8" s="84" t="s">
        <v>188</v>
      </c>
    </row>
    <row r="9">
      <c r="A9" s="103">
        <v>7.0</v>
      </c>
      <c r="B9" s="104" t="s">
        <v>166</v>
      </c>
      <c r="D9" s="80">
        <f>SUM(D21:D27)</f>
        <v>17</v>
      </c>
      <c r="E9" s="80">
        <f>$D$5</f>
        <v>113</v>
      </c>
      <c r="F9" s="80">
        <f>SUM(F21:F27)</f>
        <v>18</v>
      </c>
      <c r="G9" s="80">
        <f>$D$5-F9</f>
        <v>95</v>
      </c>
    </row>
    <row r="10">
      <c r="A10" s="71">
        <f t="shared" ref="A10:A16" si="1">A9+1</f>
        <v>8</v>
      </c>
      <c r="B10" s="104" t="s">
        <v>167</v>
      </c>
      <c r="D10" s="86">
        <f>SUM(D28:D34)</f>
        <v>13</v>
      </c>
      <c r="E10" s="86">
        <f t="shared" ref="E10:E16" si="2">E9-D9</f>
        <v>96</v>
      </c>
      <c r="F10" s="86">
        <f>SUM(F28:F34)</f>
        <v>13</v>
      </c>
      <c r="G10" s="86">
        <f t="shared" ref="G10:G16" si="3">G9-F10</f>
        <v>82</v>
      </c>
    </row>
    <row r="11">
      <c r="A11" s="85">
        <f t="shared" si="1"/>
        <v>9</v>
      </c>
      <c r="B11" s="105" t="s">
        <v>221</v>
      </c>
      <c r="C11" s="106"/>
      <c r="D11" s="80">
        <f>SUM(D35:D41)</f>
        <v>15</v>
      </c>
      <c r="E11" s="80">
        <f t="shared" si="2"/>
        <v>83</v>
      </c>
      <c r="F11" s="80">
        <f>SUM(F35:F41)</f>
        <v>14</v>
      </c>
      <c r="G11" s="80">
        <f t="shared" si="3"/>
        <v>68</v>
      </c>
    </row>
    <row r="12">
      <c r="A12" s="97">
        <f t="shared" si="1"/>
        <v>10</v>
      </c>
      <c r="B12" s="88" t="s">
        <v>222</v>
      </c>
      <c r="C12" s="89"/>
      <c r="D12" s="86">
        <f>SUM(D42:D49)</f>
        <v>18</v>
      </c>
      <c r="E12" s="86">
        <f t="shared" si="2"/>
        <v>68</v>
      </c>
      <c r="F12" s="86">
        <f>SUM(F42:F49)</f>
        <v>13</v>
      </c>
      <c r="G12" s="86">
        <f t="shared" si="3"/>
        <v>55</v>
      </c>
    </row>
    <row r="13">
      <c r="A13" s="85">
        <f t="shared" si="1"/>
        <v>11</v>
      </c>
      <c r="B13" s="105" t="s">
        <v>223</v>
      </c>
      <c r="C13" s="106"/>
      <c r="D13" s="80">
        <f>SUM(D50:D56)</f>
        <v>13</v>
      </c>
      <c r="E13" s="80">
        <f t="shared" si="2"/>
        <v>50</v>
      </c>
      <c r="F13" s="80">
        <f>SUM(F50:F56)</f>
        <v>0</v>
      </c>
      <c r="G13" s="80">
        <f t="shared" si="3"/>
        <v>55</v>
      </c>
    </row>
    <row r="14">
      <c r="A14" s="97">
        <f t="shared" si="1"/>
        <v>12</v>
      </c>
      <c r="B14" s="88" t="s">
        <v>224</v>
      </c>
      <c r="C14" s="89"/>
      <c r="D14" s="86">
        <f>SUM(D57:D63)</f>
        <v>11</v>
      </c>
      <c r="E14" s="86">
        <f t="shared" si="2"/>
        <v>37</v>
      </c>
      <c r="F14" s="86">
        <f>SUM(F57:F63)</f>
        <v>0</v>
      </c>
      <c r="G14" s="86">
        <f t="shared" si="3"/>
        <v>55</v>
      </c>
    </row>
    <row r="15">
      <c r="A15" s="85">
        <f t="shared" si="1"/>
        <v>13</v>
      </c>
      <c r="B15" s="107" t="s">
        <v>225</v>
      </c>
      <c r="C15" s="96"/>
      <c r="D15" s="80">
        <f>SUM(D64:D70)</f>
        <v>12</v>
      </c>
      <c r="E15" s="80">
        <f t="shared" si="2"/>
        <v>26</v>
      </c>
      <c r="F15" s="80">
        <f>SUM(F64:F70)</f>
        <v>0</v>
      </c>
      <c r="G15" s="80">
        <f t="shared" si="3"/>
        <v>55</v>
      </c>
    </row>
    <row r="16">
      <c r="A16" s="97">
        <f t="shared" si="1"/>
        <v>14</v>
      </c>
      <c r="B16" s="88" t="s">
        <v>226</v>
      </c>
      <c r="C16" s="73"/>
      <c r="D16" s="86">
        <f>SUM(D71:D78)</f>
        <v>14</v>
      </c>
      <c r="E16" s="86">
        <f t="shared" si="2"/>
        <v>14</v>
      </c>
      <c r="F16" s="86">
        <f>SUM(F71:F78)</f>
        <v>0</v>
      </c>
      <c r="G16" s="86">
        <f t="shared" si="3"/>
        <v>55</v>
      </c>
    </row>
    <row r="17">
      <c r="A17" s="85"/>
      <c r="B17" s="90"/>
      <c r="C17" s="79"/>
      <c r="D17" s="79"/>
      <c r="E17" s="79"/>
      <c r="F17" s="79"/>
      <c r="G17" s="79"/>
    </row>
    <row r="18">
      <c r="A18" s="91" t="s">
        <v>189</v>
      </c>
      <c r="B18" s="92"/>
      <c r="C18" s="93"/>
      <c r="D18" s="93"/>
      <c r="E18" s="93"/>
      <c r="F18" s="93"/>
      <c r="G18" s="93"/>
    </row>
    <row r="19">
      <c r="A19" s="85"/>
      <c r="B19" s="77"/>
      <c r="C19" s="79"/>
      <c r="D19" s="79"/>
      <c r="E19" s="79"/>
      <c r="F19" s="79"/>
      <c r="G19" s="79"/>
    </row>
    <row r="20">
      <c r="A20" s="87">
        <v>7.0</v>
      </c>
      <c r="B20" s="108" t="str">
        <f>B9</f>
        <v>Advance the pipeline</v>
      </c>
      <c r="C20" s="73"/>
      <c r="D20" s="86"/>
      <c r="E20" s="73"/>
      <c r="F20" s="73"/>
      <c r="G20" s="73"/>
    </row>
    <row r="21">
      <c r="A21" s="85"/>
      <c r="B21" s="90"/>
      <c r="C21" s="107" t="s">
        <v>218</v>
      </c>
      <c r="D21" s="100">
        <v>1.0</v>
      </c>
      <c r="E21" s="107"/>
      <c r="F21" s="107">
        <v>1.0</v>
      </c>
      <c r="G21" s="90"/>
    </row>
    <row r="22">
      <c r="A22" s="97"/>
      <c r="B22" s="98"/>
      <c r="C22" s="89" t="s">
        <v>227</v>
      </c>
      <c r="D22" s="99">
        <v>3.0</v>
      </c>
      <c r="E22" s="89"/>
      <c r="F22" s="89">
        <v>3.0</v>
      </c>
      <c r="G22" s="73"/>
    </row>
    <row r="23">
      <c r="A23" s="85"/>
      <c r="B23" s="90"/>
      <c r="C23" s="96" t="s">
        <v>228</v>
      </c>
      <c r="D23" s="100">
        <v>3.0</v>
      </c>
      <c r="E23" s="107"/>
      <c r="F23" s="107">
        <v>3.0</v>
      </c>
      <c r="G23" s="90"/>
    </row>
    <row r="24">
      <c r="A24" s="97"/>
      <c r="B24" s="98"/>
      <c r="C24" s="88" t="s">
        <v>229</v>
      </c>
      <c r="D24" s="99">
        <v>3.0</v>
      </c>
      <c r="E24" s="89"/>
      <c r="F24" s="89">
        <v>3.0</v>
      </c>
      <c r="G24" s="73"/>
    </row>
    <row r="25">
      <c r="A25" s="85"/>
      <c r="B25" s="90"/>
      <c r="C25" s="96" t="s">
        <v>230</v>
      </c>
      <c r="D25" s="100">
        <v>5.0</v>
      </c>
      <c r="E25" s="107"/>
      <c r="F25" s="107">
        <v>5.0</v>
      </c>
      <c r="G25" s="90"/>
    </row>
    <row r="26">
      <c r="A26" s="97"/>
      <c r="B26" s="98"/>
      <c r="C26" s="88" t="s">
        <v>231</v>
      </c>
      <c r="D26" s="99">
        <v>2.0</v>
      </c>
      <c r="E26" s="89"/>
      <c r="F26" s="89">
        <v>3.0</v>
      </c>
      <c r="G26" s="73"/>
    </row>
    <row r="27">
      <c r="A27" s="85"/>
      <c r="B27" s="90"/>
      <c r="C27" s="96"/>
      <c r="D27" s="100"/>
      <c r="E27" s="79"/>
      <c r="F27" s="100"/>
      <c r="G27" s="79"/>
    </row>
    <row r="28">
      <c r="A28" s="87">
        <f>A10</f>
        <v>8</v>
      </c>
      <c r="B28" s="109" t="s">
        <v>167</v>
      </c>
      <c r="C28" s="89"/>
      <c r="D28" s="99"/>
      <c r="E28" s="73"/>
      <c r="F28" s="99"/>
      <c r="G28" s="73"/>
    </row>
    <row r="29">
      <c r="A29" s="85"/>
      <c r="B29" s="90"/>
      <c r="C29" s="96" t="s">
        <v>232</v>
      </c>
      <c r="D29" s="100">
        <v>3.0</v>
      </c>
      <c r="E29" s="79"/>
      <c r="F29" s="96">
        <v>3.0</v>
      </c>
      <c r="G29" s="79"/>
    </row>
    <row r="30">
      <c r="A30" s="94"/>
      <c r="B30" s="95"/>
      <c r="C30" s="89" t="s">
        <v>233</v>
      </c>
      <c r="D30" s="89">
        <v>2.0</v>
      </c>
      <c r="E30" s="73"/>
      <c r="F30" s="89">
        <v>2.0</v>
      </c>
      <c r="G30" s="73"/>
    </row>
    <row r="31">
      <c r="A31" s="85"/>
      <c r="B31" s="90"/>
      <c r="C31" s="96" t="s">
        <v>234</v>
      </c>
      <c r="D31" s="96">
        <v>2.0</v>
      </c>
      <c r="E31" s="79"/>
      <c r="F31" s="96">
        <v>2.0</v>
      </c>
      <c r="G31" s="79"/>
    </row>
    <row r="32">
      <c r="A32" s="97"/>
      <c r="B32" s="98"/>
      <c r="C32" s="88" t="s">
        <v>235</v>
      </c>
      <c r="D32" s="99">
        <v>3.0</v>
      </c>
      <c r="E32" s="98"/>
      <c r="F32" s="88">
        <v>3.0</v>
      </c>
      <c r="G32" s="98"/>
    </row>
    <row r="33">
      <c r="A33" s="85"/>
      <c r="B33" s="90"/>
      <c r="C33" s="96" t="s">
        <v>236</v>
      </c>
      <c r="D33" s="100">
        <v>3.0</v>
      </c>
      <c r="E33" s="79"/>
      <c r="F33" s="96">
        <v>3.0</v>
      </c>
      <c r="G33" s="79"/>
    </row>
    <row r="34">
      <c r="A34" s="97"/>
      <c r="B34" s="98"/>
      <c r="C34" s="88"/>
      <c r="D34" s="99"/>
      <c r="E34" s="98"/>
      <c r="F34" s="88"/>
      <c r="G34" s="98"/>
    </row>
    <row r="35">
      <c r="A35" s="103">
        <v>9.0</v>
      </c>
      <c r="B35" s="110" t="s">
        <v>221</v>
      </c>
      <c r="C35" s="96"/>
      <c r="D35" s="100"/>
      <c r="E35" s="79"/>
      <c r="F35" s="100"/>
      <c r="G35" s="79"/>
    </row>
    <row r="36">
      <c r="A36" s="97"/>
      <c r="B36" s="95"/>
      <c r="C36" s="89" t="s">
        <v>237</v>
      </c>
      <c r="D36" s="99">
        <v>3.0</v>
      </c>
      <c r="E36" s="98"/>
      <c r="F36" s="88">
        <v>3.0</v>
      </c>
      <c r="G36" s="98"/>
    </row>
    <row r="37">
      <c r="A37" s="85"/>
      <c r="B37" s="90"/>
      <c r="C37" s="96" t="s">
        <v>238</v>
      </c>
      <c r="D37" s="100">
        <v>3.0</v>
      </c>
      <c r="E37" s="79"/>
      <c r="F37" s="101">
        <v>3.0</v>
      </c>
      <c r="G37" s="79"/>
    </row>
    <row r="38">
      <c r="A38" s="97"/>
      <c r="B38" s="98"/>
      <c r="C38" s="88" t="s">
        <v>239</v>
      </c>
      <c r="D38" s="99">
        <v>3.0</v>
      </c>
      <c r="E38" s="98"/>
      <c r="F38" s="88">
        <v>3.0</v>
      </c>
      <c r="G38" s="98"/>
    </row>
    <row r="39">
      <c r="A39" s="85"/>
      <c r="B39" s="90"/>
      <c r="C39" s="96" t="s">
        <v>240</v>
      </c>
      <c r="D39" s="100">
        <v>3.0</v>
      </c>
      <c r="E39" s="79"/>
      <c r="F39" s="96">
        <v>2.0</v>
      </c>
      <c r="G39" s="79"/>
    </row>
    <row r="40">
      <c r="A40" s="97"/>
      <c r="B40" s="98"/>
      <c r="C40" s="89" t="s">
        <v>241</v>
      </c>
      <c r="D40" s="99">
        <v>3.0</v>
      </c>
      <c r="E40" s="98"/>
      <c r="F40" s="88">
        <v>3.0</v>
      </c>
      <c r="G40" s="98"/>
    </row>
    <row r="41">
      <c r="A41" s="85"/>
      <c r="B41" s="90"/>
      <c r="C41" s="96"/>
      <c r="D41" s="100"/>
      <c r="E41" s="79"/>
      <c r="F41" s="101"/>
      <c r="G41" s="79"/>
    </row>
    <row r="42">
      <c r="A42" s="87">
        <v>10.0</v>
      </c>
      <c r="B42" s="108" t="s">
        <v>222</v>
      </c>
      <c r="C42" s="88"/>
      <c r="D42" s="99"/>
      <c r="E42" s="98"/>
      <c r="F42" s="88"/>
      <c r="G42" s="98"/>
    </row>
    <row r="43">
      <c r="A43" s="85"/>
      <c r="B43" s="90"/>
      <c r="C43" s="96" t="s">
        <v>242</v>
      </c>
      <c r="D43" s="100">
        <v>3.0</v>
      </c>
      <c r="E43" s="79"/>
      <c r="F43" s="96">
        <v>2.0</v>
      </c>
      <c r="G43" s="79"/>
    </row>
    <row r="44">
      <c r="A44" s="97"/>
      <c r="B44" s="95"/>
      <c r="C44" s="88" t="s">
        <v>243</v>
      </c>
      <c r="D44" s="99">
        <v>3.0</v>
      </c>
      <c r="E44" s="98"/>
      <c r="F44" s="88">
        <v>2.0</v>
      </c>
      <c r="G44" s="98"/>
    </row>
    <row r="45">
      <c r="A45" s="85"/>
      <c r="B45" s="90"/>
      <c r="C45" s="96" t="s">
        <v>244</v>
      </c>
      <c r="D45" s="100">
        <v>2.0</v>
      </c>
      <c r="E45" s="79"/>
      <c r="F45" s="96">
        <v>1.0</v>
      </c>
      <c r="G45" s="79"/>
    </row>
    <row r="46">
      <c r="A46" s="97"/>
      <c r="B46" s="98"/>
      <c r="C46" s="88" t="s">
        <v>245</v>
      </c>
      <c r="D46" s="99">
        <v>8.0</v>
      </c>
      <c r="E46" s="98"/>
      <c r="F46" s="88">
        <v>8.0</v>
      </c>
      <c r="G46" s="98"/>
    </row>
    <row r="47">
      <c r="A47" s="85"/>
      <c r="B47" s="90"/>
      <c r="C47" s="96" t="s">
        <v>246</v>
      </c>
      <c r="D47" s="100">
        <v>2.0</v>
      </c>
      <c r="E47" s="79"/>
      <c r="F47" s="96" t="s">
        <v>247</v>
      </c>
      <c r="G47" s="79"/>
    </row>
    <row r="48">
      <c r="A48" s="97"/>
      <c r="B48" s="98"/>
      <c r="C48" s="88"/>
      <c r="D48" s="99"/>
      <c r="E48" s="98"/>
      <c r="F48" s="88"/>
      <c r="G48" s="98"/>
    </row>
    <row r="49">
      <c r="A49" s="85"/>
      <c r="B49" s="90"/>
      <c r="C49" s="96"/>
      <c r="D49" s="100"/>
      <c r="E49" s="79"/>
      <c r="F49" s="96"/>
      <c r="G49" s="79"/>
    </row>
    <row r="50">
      <c r="A50" s="87">
        <v>11.0</v>
      </c>
      <c r="B50" s="111" t="s">
        <v>223</v>
      </c>
      <c r="C50" s="88"/>
      <c r="D50" s="99"/>
      <c r="E50" s="98"/>
      <c r="F50" s="88"/>
      <c r="G50" s="98"/>
    </row>
    <row r="51">
      <c r="A51" s="85"/>
      <c r="B51" s="90"/>
      <c r="C51" s="96" t="s">
        <v>248</v>
      </c>
      <c r="D51" s="100">
        <v>3.0</v>
      </c>
      <c r="E51" s="79"/>
      <c r="F51" s="79"/>
      <c r="G51" s="79"/>
    </row>
    <row r="52">
      <c r="A52" s="87"/>
      <c r="B52" s="95"/>
      <c r="C52" s="112" t="s">
        <v>249</v>
      </c>
      <c r="D52" s="99">
        <v>2.0</v>
      </c>
      <c r="E52" s="98"/>
      <c r="F52" s="98"/>
      <c r="G52" s="98"/>
    </row>
    <row r="53">
      <c r="A53" s="85"/>
      <c r="B53" s="90"/>
      <c r="C53" s="96" t="s">
        <v>250</v>
      </c>
      <c r="D53" s="100">
        <v>2.0</v>
      </c>
      <c r="E53" s="79"/>
      <c r="F53" s="96"/>
      <c r="G53" s="79"/>
    </row>
    <row r="54">
      <c r="A54" s="97"/>
      <c r="B54" s="98"/>
      <c r="C54" s="89" t="s">
        <v>251</v>
      </c>
      <c r="D54" s="99">
        <v>3.0</v>
      </c>
      <c r="E54" s="98"/>
      <c r="F54" s="88"/>
      <c r="G54" s="98"/>
    </row>
    <row r="55">
      <c r="A55" s="85"/>
      <c r="B55" s="90"/>
      <c r="C55" s="96" t="s">
        <v>252</v>
      </c>
      <c r="D55" s="100">
        <v>3.0</v>
      </c>
      <c r="E55" s="79"/>
      <c r="F55" s="96"/>
      <c r="G55" s="79"/>
    </row>
    <row r="56">
      <c r="A56" s="97"/>
      <c r="B56" s="98"/>
      <c r="C56" s="88"/>
      <c r="D56" s="99"/>
      <c r="E56" s="98"/>
      <c r="F56" s="88"/>
      <c r="G56" s="98"/>
    </row>
    <row r="57">
      <c r="A57" s="103">
        <v>12.0</v>
      </c>
      <c r="B57" s="113" t="s">
        <v>253</v>
      </c>
      <c r="C57" s="96"/>
      <c r="D57" s="100"/>
      <c r="E57" s="79"/>
      <c r="F57" s="96"/>
      <c r="G57" s="79"/>
    </row>
    <row r="58">
      <c r="A58" s="97"/>
      <c r="B58" s="98"/>
      <c r="C58" s="88" t="s">
        <v>254</v>
      </c>
      <c r="D58" s="99">
        <v>3.0</v>
      </c>
      <c r="E58" s="98"/>
      <c r="F58" s="99"/>
      <c r="G58" s="98"/>
    </row>
    <row r="59">
      <c r="A59" s="85"/>
      <c r="B59" s="90"/>
      <c r="C59" s="96" t="s">
        <v>255</v>
      </c>
      <c r="D59" s="100">
        <v>2.0</v>
      </c>
      <c r="E59" s="79"/>
      <c r="F59" s="96"/>
      <c r="G59" s="79"/>
    </row>
    <row r="60">
      <c r="A60" s="97"/>
      <c r="B60" s="98"/>
      <c r="C60" s="88" t="s">
        <v>256</v>
      </c>
      <c r="D60" s="99">
        <v>3.0</v>
      </c>
      <c r="E60" s="98"/>
      <c r="F60" s="98"/>
      <c r="G60" s="98"/>
    </row>
    <row r="61">
      <c r="A61" s="103"/>
      <c r="B61" s="113"/>
      <c r="C61" s="96" t="s">
        <v>257</v>
      </c>
      <c r="D61" s="100">
        <v>3.0</v>
      </c>
      <c r="E61" s="79"/>
      <c r="F61" s="79"/>
      <c r="G61" s="79"/>
    </row>
    <row r="62">
      <c r="A62" s="97"/>
      <c r="B62" s="98"/>
      <c r="C62" s="88"/>
      <c r="D62" s="99"/>
      <c r="E62" s="98"/>
      <c r="F62" s="98"/>
      <c r="G62" s="98"/>
    </row>
    <row r="63">
      <c r="A63" s="85"/>
      <c r="B63" s="90"/>
      <c r="C63" s="96"/>
      <c r="D63" s="100"/>
      <c r="E63" s="79"/>
      <c r="F63" s="79"/>
      <c r="G63" s="79"/>
    </row>
    <row r="64">
      <c r="A64" s="87">
        <v>13.0</v>
      </c>
      <c r="B64" s="108" t="s">
        <v>225</v>
      </c>
      <c r="C64" s="89"/>
      <c r="D64" s="99"/>
      <c r="E64" s="98"/>
      <c r="F64" s="98"/>
      <c r="G64" s="98"/>
    </row>
    <row r="65">
      <c r="A65" s="85"/>
      <c r="C65" s="107" t="s">
        <v>258</v>
      </c>
      <c r="D65" s="100">
        <v>3.0</v>
      </c>
      <c r="E65" s="79"/>
      <c r="F65" s="79"/>
      <c r="G65" s="79"/>
    </row>
    <row r="66">
      <c r="A66" s="97"/>
      <c r="C66" s="88" t="s">
        <v>259</v>
      </c>
      <c r="D66" s="99">
        <v>3.0</v>
      </c>
      <c r="E66" s="98"/>
      <c r="F66" s="98"/>
      <c r="G66" s="98"/>
    </row>
    <row r="67">
      <c r="A67" s="85"/>
      <c r="C67" s="107" t="s">
        <v>260</v>
      </c>
      <c r="D67" s="100">
        <v>3.0</v>
      </c>
      <c r="E67" s="79"/>
      <c r="F67" s="79"/>
      <c r="G67" s="79"/>
    </row>
    <row r="68">
      <c r="A68" s="97"/>
      <c r="C68" s="88" t="s">
        <v>261</v>
      </c>
      <c r="D68" s="99">
        <v>3.0</v>
      </c>
      <c r="E68" s="98"/>
      <c r="F68" s="98"/>
      <c r="G68" s="98"/>
    </row>
    <row r="69">
      <c r="A69" s="85"/>
      <c r="B69" s="90"/>
      <c r="C69" s="96"/>
      <c r="D69" s="80"/>
      <c r="E69" s="79"/>
      <c r="F69" s="79"/>
      <c r="G69" s="79"/>
    </row>
    <row r="70">
      <c r="A70" s="97"/>
      <c r="B70" s="98"/>
      <c r="C70" s="98"/>
      <c r="D70" s="86"/>
      <c r="E70" s="98"/>
      <c r="F70" s="98"/>
      <c r="G70" s="98"/>
    </row>
    <row r="71">
      <c r="A71" s="103">
        <v>14.0</v>
      </c>
      <c r="B71" s="113" t="s">
        <v>226</v>
      </c>
      <c r="C71" s="79"/>
      <c r="D71" s="80"/>
      <c r="E71" s="79"/>
      <c r="F71" s="79"/>
      <c r="G71" s="79"/>
    </row>
    <row r="72">
      <c r="A72" s="97"/>
      <c r="B72" s="98"/>
      <c r="C72" s="88" t="s">
        <v>262</v>
      </c>
      <c r="D72" s="99">
        <v>3.0</v>
      </c>
      <c r="E72" s="98"/>
      <c r="F72" s="98"/>
      <c r="G72" s="98"/>
    </row>
    <row r="73">
      <c r="A73" s="85"/>
      <c r="B73" s="90"/>
      <c r="C73" s="96" t="s">
        <v>263</v>
      </c>
      <c r="D73" s="100">
        <v>5.0</v>
      </c>
      <c r="E73" s="79"/>
      <c r="F73" s="79"/>
      <c r="G73" s="79"/>
    </row>
    <row r="74">
      <c r="A74" s="97"/>
      <c r="B74" s="98"/>
      <c r="C74" s="88" t="s">
        <v>264</v>
      </c>
      <c r="D74" s="99">
        <v>3.0</v>
      </c>
      <c r="E74" s="98"/>
      <c r="F74" s="98"/>
      <c r="G74" s="98"/>
    </row>
    <row r="75">
      <c r="A75" s="85"/>
      <c r="B75" s="90"/>
      <c r="C75" s="96" t="s">
        <v>265</v>
      </c>
      <c r="D75" s="100">
        <v>3.0</v>
      </c>
      <c r="E75" s="79"/>
      <c r="F75" s="79"/>
      <c r="G75" s="79"/>
    </row>
    <row r="76">
      <c r="A76" s="97"/>
      <c r="B76" s="98"/>
      <c r="C76" s="88"/>
      <c r="D76" s="99"/>
      <c r="E76" s="98"/>
      <c r="F76" s="98"/>
      <c r="G76" s="98"/>
    </row>
    <row r="77">
      <c r="A77" s="85"/>
      <c r="B77" s="90"/>
      <c r="C77" s="79"/>
      <c r="D77" s="80"/>
      <c r="E77" s="79"/>
      <c r="F77" s="79"/>
      <c r="G77" s="79"/>
    </row>
    <row r="78">
      <c r="A78" s="97"/>
      <c r="B78" s="98"/>
      <c r="C78" s="98"/>
      <c r="D78" s="86"/>
      <c r="E78" s="98"/>
      <c r="F78" s="98"/>
      <c r="G78" s="98"/>
    </row>
    <row r="79">
      <c r="A79" s="85"/>
      <c r="B79" s="90"/>
      <c r="C79" s="79"/>
      <c r="D79" s="80"/>
      <c r="E79" s="79"/>
      <c r="F79" s="79"/>
      <c r="G79" s="79"/>
    </row>
    <row r="80">
      <c r="A80" s="97"/>
      <c r="B80" s="98"/>
      <c r="C80" s="98"/>
      <c r="D80" s="86"/>
      <c r="E80" s="98"/>
      <c r="F80" s="98"/>
      <c r="G80" s="98"/>
    </row>
    <row r="81">
      <c r="A81" s="97"/>
      <c r="B81" s="98"/>
      <c r="C81" s="98"/>
      <c r="D81" s="86"/>
      <c r="E81" s="98"/>
      <c r="F81" s="98"/>
      <c r="G81" s="98"/>
    </row>
    <row r="82">
      <c r="A82" s="97"/>
      <c r="B82" s="98"/>
      <c r="C82" s="73"/>
      <c r="D82" s="73"/>
      <c r="E82" s="73"/>
      <c r="F82" s="73"/>
      <c r="G82" s="73"/>
    </row>
    <row r="83">
      <c r="A83" s="97"/>
      <c r="B83" s="98"/>
      <c r="C83" s="102" t="s">
        <v>220</v>
      </c>
      <c r="D83" s="73"/>
      <c r="E83" s="73"/>
      <c r="F83" s="73"/>
      <c r="G83" s="73"/>
    </row>
    <row r="84">
      <c r="A84" s="97"/>
      <c r="B84" s="98"/>
      <c r="C84" s="73"/>
      <c r="D84" s="73"/>
      <c r="E84" s="73"/>
      <c r="F84" s="73"/>
      <c r="G84" s="73"/>
    </row>
    <row r="85">
      <c r="A85" s="97"/>
      <c r="B85" s="98"/>
      <c r="C85" s="73"/>
      <c r="D85" s="73"/>
      <c r="E85" s="73"/>
      <c r="F85" s="73"/>
      <c r="G85" s="73"/>
    </row>
    <row r="86">
      <c r="A86" s="97"/>
      <c r="B86" s="98"/>
      <c r="C86" s="73"/>
      <c r="D86" s="73"/>
      <c r="E86" s="73"/>
      <c r="F86" s="73"/>
      <c r="G86" s="73"/>
    </row>
    <row r="87">
      <c r="A87" s="97"/>
      <c r="B87" s="98"/>
      <c r="C87" s="73"/>
      <c r="D87" s="73"/>
      <c r="E87" s="73"/>
      <c r="F87" s="73"/>
      <c r="G87" s="73"/>
    </row>
    <row r="88">
      <c r="A88" s="97"/>
      <c r="B88" s="98"/>
      <c r="C88" s="73"/>
      <c r="D88" s="73"/>
      <c r="E88" s="73"/>
      <c r="F88" s="73"/>
      <c r="G88" s="73"/>
    </row>
    <row r="89">
      <c r="A89" s="97"/>
      <c r="B89" s="98"/>
      <c r="C89" s="73"/>
      <c r="D89" s="73"/>
      <c r="E89" s="73"/>
      <c r="F89" s="73"/>
      <c r="G89" s="73"/>
    </row>
    <row r="90">
      <c r="A90" s="97"/>
      <c r="B90" s="98"/>
      <c r="C90" s="73"/>
      <c r="D90" s="73"/>
      <c r="E90" s="73"/>
      <c r="F90" s="73"/>
      <c r="G90" s="73"/>
    </row>
    <row r="91">
      <c r="A91" s="97"/>
      <c r="B91" s="98"/>
      <c r="C91" s="73"/>
      <c r="D91" s="73"/>
      <c r="E91" s="73"/>
      <c r="F91" s="73"/>
      <c r="G91" s="73"/>
    </row>
    <row r="92">
      <c r="A92" s="97"/>
      <c r="B92" s="98"/>
      <c r="C92" s="73"/>
      <c r="D92" s="73"/>
      <c r="E92" s="73"/>
      <c r="F92" s="73"/>
      <c r="G92" s="73"/>
    </row>
    <row r="93">
      <c r="A93" s="97"/>
      <c r="B93" s="98"/>
      <c r="C93" s="73"/>
      <c r="D93" s="73"/>
      <c r="E93" s="73"/>
      <c r="F93" s="73"/>
      <c r="G93" s="73"/>
    </row>
    <row r="94">
      <c r="A94" s="97"/>
      <c r="B94" s="98"/>
      <c r="C94" s="73"/>
      <c r="D94" s="73"/>
      <c r="E94" s="73"/>
      <c r="F94" s="73"/>
      <c r="G94" s="73"/>
    </row>
    <row r="95">
      <c r="A95" s="97"/>
      <c r="B95" s="98"/>
      <c r="C95" s="73"/>
      <c r="D95" s="73"/>
      <c r="E95" s="73"/>
      <c r="F95" s="73"/>
      <c r="G95" s="73"/>
    </row>
    <row r="96">
      <c r="A96" s="97"/>
      <c r="B96" s="98"/>
      <c r="C96" s="73"/>
      <c r="D96" s="73"/>
      <c r="E96" s="73"/>
      <c r="F96" s="73"/>
      <c r="G96" s="73"/>
    </row>
    <row r="97">
      <c r="A97" s="97"/>
      <c r="B97" s="98"/>
      <c r="C97" s="73"/>
      <c r="D97" s="73"/>
      <c r="E97" s="73"/>
      <c r="F97" s="73"/>
      <c r="G97" s="73"/>
    </row>
    <row r="98">
      <c r="A98" s="97"/>
      <c r="B98" s="98"/>
      <c r="C98" s="73"/>
      <c r="D98" s="73"/>
      <c r="E98" s="73"/>
      <c r="F98" s="73"/>
      <c r="G98" s="73"/>
    </row>
    <row r="99">
      <c r="A99" s="97"/>
      <c r="B99" s="98"/>
      <c r="C99" s="73"/>
      <c r="D99" s="73"/>
      <c r="E99" s="73"/>
      <c r="F99" s="73"/>
      <c r="G99" s="73"/>
    </row>
    <row r="100">
      <c r="A100" s="97"/>
      <c r="B100" s="98"/>
      <c r="C100" s="73"/>
      <c r="D100" s="73"/>
      <c r="E100" s="73"/>
      <c r="F100" s="73"/>
      <c r="G100" s="73"/>
    </row>
    <row r="101">
      <c r="A101" s="97"/>
      <c r="B101" s="98"/>
      <c r="C101" s="73"/>
      <c r="D101" s="73"/>
      <c r="E101" s="73"/>
      <c r="F101" s="73"/>
      <c r="G101" s="73"/>
    </row>
    <row r="102">
      <c r="A102" s="97"/>
      <c r="B102" s="98"/>
      <c r="C102" s="73"/>
      <c r="D102" s="73"/>
      <c r="E102" s="73"/>
      <c r="F102" s="73"/>
      <c r="G102" s="73"/>
    </row>
    <row r="103">
      <c r="A103" s="97"/>
      <c r="B103" s="98"/>
      <c r="C103" s="73"/>
      <c r="D103" s="73"/>
      <c r="E103" s="73"/>
      <c r="F103" s="73"/>
      <c r="G103" s="73"/>
    </row>
    <row r="104">
      <c r="A104" s="97"/>
      <c r="B104" s="98"/>
      <c r="C104" s="73"/>
      <c r="D104" s="73"/>
      <c r="E104" s="73"/>
      <c r="F104" s="73"/>
      <c r="G104" s="73"/>
    </row>
    <row r="105">
      <c r="A105" s="97"/>
      <c r="B105" s="98"/>
      <c r="C105" s="73"/>
      <c r="D105" s="73"/>
      <c r="E105" s="73"/>
      <c r="F105" s="73"/>
      <c r="G105" s="73"/>
    </row>
    <row r="106">
      <c r="A106" s="97"/>
      <c r="B106" s="98"/>
      <c r="C106" s="73"/>
      <c r="D106" s="73"/>
      <c r="E106" s="73"/>
      <c r="F106" s="73"/>
      <c r="G106" s="73"/>
    </row>
    <row r="107">
      <c r="A107" s="97"/>
      <c r="B107" s="98"/>
      <c r="C107" s="73"/>
      <c r="D107" s="73"/>
      <c r="E107" s="73"/>
      <c r="F107" s="73"/>
      <c r="G107" s="73"/>
    </row>
    <row r="108">
      <c r="A108" s="97"/>
      <c r="B108" s="98"/>
      <c r="C108" s="73"/>
      <c r="D108" s="73"/>
      <c r="E108" s="73"/>
      <c r="F108" s="73"/>
      <c r="G108" s="73"/>
    </row>
    <row r="109">
      <c r="A109" s="97"/>
      <c r="B109" s="98"/>
      <c r="C109" s="73"/>
      <c r="D109" s="73"/>
      <c r="E109" s="73"/>
      <c r="F109" s="73"/>
      <c r="G109" s="73"/>
    </row>
    <row r="110">
      <c r="A110" s="97"/>
      <c r="B110" s="98"/>
      <c r="C110" s="73"/>
      <c r="D110" s="73"/>
      <c r="E110" s="73"/>
      <c r="F110" s="73"/>
      <c r="G110" s="73"/>
    </row>
    <row r="111">
      <c r="A111" s="97"/>
      <c r="B111" s="98"/>
      <c r="C111" s="73"/>
      <c r="D111" s="73"/>
      <c r="E111" s="73"/>
      <c r="F111" s="73"/>
      <c r="G111" s="73"/>
    </row>
    <row r="112">
      <c r="A112" s="97"/>
      <c r="B112" s="98"/>
      <c r="C112" s="73"/>
      <c r="D112" s="73"/>
      <c r="E112" s="73"/>
      <c r="F112" s="73"/>
      <c r="G112" s="73"/>
    </row>
    <row r="113">
      <c r="A113" s="97"/>
      <c r="B113" s="98"/>
      <c r="C113" s="73"/>
      <c r="D113" s="73"/>
      <c r="E113" s="73"/>
      <c r="F113" s="73"/>
      <c r="G113" s="73"/>
    </row>
    <row r="114">
      <c r="A114" s="97"/>
      <c r="B114" s="98"/>
      <c r="C114" s="73"/>
      <c r="D114" s="73"/>
      <c r="E114" s="73"/>
      <c r="F114" s="73"/>
      <c r="G114" s="73"/>
    </row>
    <row r="115">
      <c r="A115" s="97"/>
      <c r="B115" s="98"/>
      <c r="C115" s="73"/>
      <c r="D115" s="73"/>
      <c r="E115" s="73"/>
      <c r="F115" s="73"/>
      <c r="G115" s="73"/>
    </row>
    <row r="116">
      <c r="A116" s="97"/>
      <c r="B116" s="98"/>
      <c r="C116" s="73"/>
      <c r="D116" s="73"/>
      <c r="E116" s="73"/>
      <c r="F116" s="73"/>
      <c r="G116" s="73"/>
    </row>
    <row r="117">
      <c r="A117" s="97"/>
      <c r="B117" s="98"/>
      <c r="C117" s="73"/>
      <c r="D117" s="73"/>
      <c r="E117" s="73"/>
      <c r="F117" s="73"/>
      <c r="G117" s="73"/>
    </row>
    <row r="118">
      <c r="A118" s="97"/>
      <c r="B118" s="98"/>
      <c r="C118" s="73"/>
      <c r="D118" s="73"/>
      <c r="E118" s="73"/>
      <c r="F118" s="73"/>
      <c r="G118" s="73"/>
    </row>
    <row r="119">
      <c r="A119" s="97"/>
      <c r="B119" s="98"/>
      <c r="C119" s="73"/>
      <c r="D119" s="73"/>
      <c r="E119" s="73"/>
      <c r="F119" s="73"/>
      <c r="G119" s="73"/>
    </row>
    <row r="120">
      <c r="A120" s="97"/>
      <c r="B120" s="98"/>
      <c r="C120" s="73"/>
      <c r="D120" s="73"/>
      <c r="E120" s="73"/>
      <c r="F120" s="73"/>
      <c r="G120" s="73"/>
    </row>
    <row r="121">
      <c r="A121" s="97"/>
      <c r="B121" s="98"/>
      <c r="C121" s="73"/>
      <c r="D121" s="73"/>
      <c r="E121" s="73"/>
      <c r="F121" s="73"/>
      <c r="G121" s="73"/>
    </row>
    <row r="122">
      <c r="A122" s="97"/>
      <c r="B122" s="98"/>
      <c r="C122" s="73"/>
      <c r="D122" s="73"/>
      <c r="E122" s="73"/>
      <c r="F122" s="73"/>
      <c r="G122" s="73"/>
    </row>
    <row r="123">
      <c r="A123" s="97"/>
      <c r="B123" s="98"/>
      <c r="C123" s="73"/>
      <c r="D123" s="73"/>
      <c r="E123" s="73"/>
      <c r="F123" s="73"/>
      <c r="G123" s="73"/>
    </row>
    <row r="124">
      <c r="A124" s="97"/>
      <c r="B124" s="98"/>
      <c r="C124" s="73"/>
      <c r="D124" s="73"/>
      <c r="E124" s="73"/>
      <c r="F124" s="73"/>
      <c r="G124" s="73"/>
    </row>
    <row r="125">
      <c r="A125" s="97"/>
      <c r="B125" s="98"/>
      <c r="C125" s="73"/>
      <c r="D125" s="73"/>
      <c r="E125" s="73"/>
      <c r="F125" s="73"/>
      <c r="G125" s="73"/>
    </row>
    <row r="126">
      <c r="A126" s="97"/>
      <c r="B126" s="98"/>
      <c r="C126" s="73"/>
      <c r="D126" s="73"/>
      <c r="E126" s="73"/>
      <c r="F126" s="73"/>
      <c r="G126" s="73"/>
    </row>
    <row r="127">
      <c r="A127" s="97"/>
      <c r="B127" s="98"/>
      <c r="C127" s="73"/>
      <c r="D127" s="73"/>
      <c r="E127" s="73"/>
      <c r="F127" s="73"/>
      <c r="G127" s="73"/>
    </row>
    <row r="128">
      <c r="A128" s="97"/>
      <c r="B128" s="98"/>
      <c r="C128" s="73"/>
      <c r="D128" s="73"/>
      <c r="E128" s="73"/>
      <c r="F128" s="73"/>
      <c r="G128" s="73"/>
    </row>
    <row r="129">
      <c r="A129" s="97"/>
      <c r="B129" s="98"/>
      <c r="C129" s="73"/>
      <c r="D129" s="73"/>
      <c r="E129" s="73"/>
      <c r="F129" s="73"/>
      <c r="G129" s="73"/>
    </row>
    <row r="130">
      <c r="A130" s="97"/>
      <c r="B130" s="98"/>
      <c r="C130" s="73"/>
      <c r="D130" s="73"/>
      <c r="E130" s="73"/>
      <c r="F130" s="73"/>
      <c r="G130" s="73"/>
    </row>
    <row r="131">
      <c r="A131" s="97"/>
      <c r="B131" s="98"/>
      <c r="C131" s="73"/>
      <c r="D131" s="73"/>
      <c r="E131" s="73"/>
      <c r="F131" s="73"/>
      <c r="G131" s="73"/>
    </row>
    <row r="132">
      <c r="A132" s="97"/>
      <c r="B132" s="98"/>
      <c r="C132" s="73"/>
      <c r="D132" s="73"/>
      <c r="E132" s="73"/>
      <c r="F132" s="73"/>
      <c r="G132" s="73"/>
    </row>
    <row r="133">
      <c r="A133" s="97"/>
      <c r="B133" s="98"/>
      <c r="C133" s="73"/>
      <c r="D133" s="73"/>
      <c r="E133" s="73"/>
      <c r="F133" s="73"/>
      <c r="G133" s="73"/>
    </row>
    <row r="134">
      <c r="A134" s="97"/>
      <c r="B134" s="98"/>
      <c r="C134" s="73"/>
      <c r="D134" s="73"/>
      <c r="E134" s="73"/>
      <c r="F134" s="73"/>
      <c r="G134" s="73"/>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5.13"/>
    <col customWidth="1" min="2" max="2" width="55.63"/>
    <col customWidth="1" min="3" max="4" width="40.13"/>
  </cols>
  <sheetData>
    <row r="1">
      <c r="A1" s="114" t="s">
        <v>65</v>
      </c>
      <c r="B1" s="68" t="s">
        <v>266</v>
      </c>
      <c r="C1" s="68" t="s">
        <v>267</v>
      </c>
      <c r="D1" s="115" t="s">
        <v>268</v>
      </c>
    </row>
    <row r="2">
      <c r="A2" s="64"/>
      <c r="B2" s="3" t="s">
        <v>269</v>
      </c>
      <c r="C2" s="64"/>
      <c r="D2" s="64"/>
    </row>
    <row r="3">
      <c r="A3" s="64"/>
      <c r="B3" s="51" t="s">
        <v>270</v>
      </c>
      <c r="C3" s="64"/>
      <c r="D3" s="64"/>
    </row>
    <row r="4">
      <c r="A4" s="64"/>
      <c r="B4" s="44" t="s">
        <v>271</v>
      </c>
      <c r="C4" s="64"/>
      <c r="D4" s="64"/>
    </row>
    <row r="5">
      <c r="A5" s="64"/>
      <c r="B5" s="3" t="s">
        <v>272</v>
      </c>
      <c r="C5" s="64"/>
      <c r="D5" s="64"/>
    </row>
    <row r="6">
      <c r="A6" s="64"/>
      <c r="B6" s="9" t="s">
        <v>273</v>
      </c>
      <c r="C6" s="64"/>
      <c r="D6" s="64"/>
    </row>
    <row r="7">
      <c r="A7" s="64"/>
      <c r="B7" s="3" t="s">
        <v>274</v>
      </c>
      <c r="C7" s="64"/>
      <c r="D7" s="64"/>
    </row>
    <row r="8">
      <c r="A8" s="64"/>
      <c r="B8" s="9" t="s">
        <v>275</v>
      </c>
      <c r="C8" s="64"/>
      <c r="D8" s="64"/>
    </row>
    <row r="9">
      <c r="A9" s="64"/>
      <c r="B9" s="63" t="s">
        <v>276</v>
      </c>
    </row>
    <row r="10">
      <c r="A10" s="64"/>
      <c r="B10" s="63" t="s">
        <v>277</v>
      </c>
    </row>
    <row r="11">
      <c r="A11" s="64"/>
      <c r="B11" s="63" t="s">
        <v>278</v>
      </c>
      <c r="D11" s="64"/>
    </row>
    <row r="12">
      <c r="A12" s="64"/>
      <c r="B12" s="63" t="s">
        <v>279</v>
      </c>
    </row>
    <row r="13">
      <c r="A13" s="64"/>
      <c r="B13" s="63" t="s">
        <v>280</v>
      </c>
      <c r="C13" s="116"/>
      <c r="D13" s="64"/>
    </row>
    <row r="14">
      <c r="A14" s="64"/>
      <c r="B14" s="44" t="s">
        <v>281</v>
      </c>
    </row>
    <row r="15">
      <c r="A15" s="64"/>
      <c r="B15" s="64"/>
      <c r="C15" s="116" t="s">
        <v>282</v>
      </c>
      <c r="D15" s="64"/>
    </row>
    <row r="16">
      <c r="A16" s="64"/>
      <c r="B16" s="64"/>
      <c r="C16" s="51" t="s">
        <v>283</v>
      </c>
      <c r="D16" s="64"/>
    </row>
    <row r="17">
      <c r="A17" s="64"/>
      <c r="B17" s="64"/>
      <c r="C17" s="64"/>
      <c r="D17" s="44" t="s">
        <v>284</v>
      </c>
    </row>
    <row r="18">
      <c r="A18" s="64"/>
      <c r="B18" s="64"/>
      <c r="C18" s="64"/>
      <c r="D18" s="44" t="s">
        <v>285</v>
      </c>
    </row>
    <row r="19">
      <c r="A19" s="64"/>
      <c r="B19" s="64"/>
      <c r="C19" s="64"/>
      <c r="D19" s="44" t="s">
        <v>286</v>
      </c>
    </row>
    <row r="20">
      <c r="A20" s="64"/>
      <c r="B20" s="64"/>
      <c r="C20" s="64"/>
      <c r="D20" s="44" t="s">
        <v>287</v>
      </c>
    </row>
    <row r="21">
      <c r="A21" s="64"/>
      <c r="B21" s="64"/>
      <c r="C21" s="64"/>
      <c r="D21" s="44" t="s">
        <v>288</v>
      </c>
    </row>
    <row r="22">
      <c r="A22" s="64"/>
      <c r="B22" s="64"/>
      <c r="C22" s="64"/>
      <c r="D22" s="44" t="s">
        <v>289</v>
      </c>
    </row>
  </sheetData>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61" t="s">
        <v>290</v>
      </c>
      <c r="B1" s="61" t="s">
        <v>291</v>
      </c>
    </row>
    <row r="2">
      <c r="A2" s="63" t="s">
        <v>292</v>
      </c>
      <c r="B2" s="117" t="s">
        <v>293</v>
      </c>
    </row>
    <row r="3">
      <c r="A3" s="63" t="s">
        <v>294</v>
      </c>
      <c r="B3" s="117" t="s">
        <v>295</v>
      </c>
    </row>
    <row r="4">
      <c r="A4" s="63" t="s">
        <v>296</v>
      </c>
      <c r="B4" s="117" t="s">
        <v>297</v>
      </c>
    </row>
    <row r="5">
      <c r="A5" s="64"/>
      <c r="B5" s="64"/>
    </row>
    <row r="6">
      <c r="A6" s="64"/>
      <c r="B6" s="64"/>
    </row>
    <row r="7">
      <c r="A7" s="64"/>
      <c r="B7" s="64"/>
    </row>
    <row r="8">
      <c r="A8" s="64"/>
      <c r="B8" s="64"/>
    </row>
    <row r="9">
      <c r="A9" s="64"/>
      <c r="B9" s="64"/>
    </row>
    <row r="10">
      <c r="A10" s="64"/>
      <c r="B10" s="64"/>
    </row>
    <row r="11">
      <c r="A11" s="64"/>
      <c r="B11" s="64"/>
    </row>
    <row r="12">
      <c r="A12" s="64"/>
      <c r="B12" s="64"/>
    </row>
    <row r="13">
      <c r="A13" s="64"/>
      <c r="B13" s="64"/>
    </row>
    <row r="14">
      <c r="A14" s="64"/>
      <c r="B14" s="64"/>
    </row>
    <row r="15">
      <c r="A15" s="64"/>
      <c r="B15" s="64"/>
    </row>
    <row r="16">
      <c r="A16" s="64"/>
      <c r="B16" s="64"/>
    </row>
    <row r="17">
      <c r="A17" s="64"/>
      <c r="B17" s="64"/>
    </row>
    <row r="18">
      <c r="A18" s="64"/>
      <c r="B18" s="64"/>
    </row>
    <row r="19">
      <c r="A19" s="64"/>
      <c r="B19" s="64"/>
    </row>
    <row r="20">
      <c r="A20" s="64"/>
      <c r="B20" s="64"/>
    </row>
  </sheetData>
  <hyperlinks>
    <hyperlink r:id="rId1" location="user-documentation" ref="B2"/>
    <hyperlink r:id="rId2" location="design-documentation" ref="B3"/>
    <hyperlink r:id="rId3" location="build-and-deploy-documentation" ref="B4"/>
  </hyperlinks>
  <drawing r:id="rId4"/>
  <tableParts count="1">
    <tablePart r:id="rId6"/>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38"/>
    <col customWidth="1" min="2" max="2" width="38.0"/>
    <col customWidth="1" min="3" max="3" width="37.63"/>
    <col customWidth="1" min="4" max="4" width="19.25"/>
    <col customWidth="1" min="5" max="5" width="16.63"/>
    <col customWidth="1" min="6" max="6" width="59.25"/>
    <col customWidth="1" min="7" max="7" width="42.0"/>
    <col customWidth="1" min="8" max="9" width="37.63"/>
    <col customWidth="1" min="10" max="10" width="9.0"/>
    <col customWidth="1" min="11" max="11" width="14.75"/>
    <col customWidth="1" min="12" max="12" width="25.88"/>
    <col customWidth="1" min="13" max="21" width="37.63"/>
  </cols>
  <sheetData>
    <row r="1">
      <c r="A1" s="118" t="s">
        <v>298</v>
      </c>
      <c r="B1" s="119" t="s">
        <v>299</v>
      </c>
      <c r="C1" s="120"/>
      <c r="D1" s="121" t="s">
        <v>300</v>
      </c>
      <c r="E1" s="120"/>
      <c r="F1" s="120"/>
      <c r="G1" s="120"/>
      <c r="H1" s="120"/>
      <c r="I1" s="121" t="s">
        <v>301</v>
      </c>
      <c r="J1" s="120"/>
      <c r="K1" s="122"/>
      <c r="L1" s="120"/>
      <c r="M1" s="120"/>
      <c r="N1" s="120"/>
      <c r="O1" s="120"/>
      <c r="P1" s="121" t="s">
        <v>302</v>
      </c>
      <c r="Q1" s="120"/>
      <c r="R1" s="120"/>
      <c r="S1" s="120"/>
      <c r="T1" s="120"/>
      <c r="U1" s="120"/>
    </row>
    <row r="2">
      <c r="A2" s="118" t="s">
        <v>303</v>
      </c>
      <c r="B2" s="123" t="s">
        <v>304</v>
      </c>
      <c r="C2" s="124"/>
      <c r="D2" s="124"/>
      <c r="E2" s="124"/>
      <c r="F2" s="124"/>
      <c r="G2" s="124"/>
      <c r="H2" s="124"/>
      <c r="I2" s="124"/>
      <c r="J2" s="124"/>
      <c r="K2" s="125"/>
      <c r="L2" s="124"/>
      <c r="M2" s="124"/>
      <c r="N2" s="124"/>
      <c r="O2" s="124"/>
      <c r="P2" s="124"/>
      <c r="Q2" s="124"/>
      <c r="R2" s="124"/>
      <c r="S2" s="124"/>
      <c r="T2" s="124"/>
      <c r="U2" s="124"/>
    </row>
    <row r="3">
      <c r="A3" s="118" t="s">
        <v>305</v>
      </c>
      <c r="B3" s="123" t="s">
        <v>306</v>
      </c>
      <c r="C3" s="124"/>
      <c r="D3" s="124"/>
      <c r="E3" s="124"/>
      <c r="F3" s="124"/>
      <c r="G3" s="124"/>
      <c r="H3" s="124"/>
      <c r="I3" s="124"/>
      <c r="J3" s="124"/>
      <c r="K3" s="125"/>
      <c r="L3" s="124"/>
      <c r="M3" s="124"/>
      <c r="N3" s="124"/>
      <c r="O3" s="124"/>
      <c r="P3" s="124"/>
      <c r="Q3" s="124"/>
      <c r="R3" s="124"/>
      <c r="S3" s="124"/>
      <c r="T3" s="124"/>
      <c r="U3" s="124"/>
    </row>
    <row r="4">
      <c r="A4" s="118" t="s">
        <v>307</v>
      </c>
      <c r="B4" s="123" t="s">
        <v>308</v>
      </c>
      <c r="C4" s="124"/>
      <c r="D4" s="118" t="s">
        <v>309</v>
      </c>
      <c r="E4" s="118" t="s">
        <v>310</v>
      </c>
      <c r="F4" s="118" t="s">
        <v>311</v>
      </c>
      <c r="G4" s="118" t="s">
        <v>312</v>
      </c>
      <c r="H4" s="124"/>
      <c r="I4" s="126" t="s">
        <v>309</v>
      </c>
      <c r="J4" s="126" t="s">
        <v>310</v>
      </c>
      <c r="K4" s="126" t="s">
        <v>303</v>
      </c>
      <c r="L4" s="126" t="s">
        <v>313</v>
      </c>
      <c r="M4" s="126" t="s">
        <v>314</v>
      </c>
      <c r="N4" s="126" t="s">
        <v>312</v>
      </c>
      <c r="O4" s="124"/>
      <c r="P4" s="126" t="s">
        <v>309</v>
      </c>
      <c r="Q4" s="126" t="s">
        <v>310</v>
      </c>
      <c r="R4" s="126" t="s">
        <v>303</v>
      </c>
      <c r="S4" s="126" t="s">
        <v>312</v>
      </c>
      <c r="T4" s="127"/>
      <c r="U4" s="127"/>
    </row>
    <row r="5">
      <c r="A5" s="118" t="s">
        <v>315</v>
      </c>
      <c r="B5" s="128" t="s">
        <v>316</v>
      </c>
      <c r="C5" s="124"/>
      <c r="D5" s="118" t="s">
        <v>124</v>
      </c>
      <c r="E5" s="129" t="s">
        <v>317</v>
      </c>
      <c r="F5" s="129" t="s">
        <v>318</v>
      </c>
      <c r="G5" s="129" t="s">
        <v>319</v>
      </c>
      <c r="H5" s="124"/>
      <c r="I5" s="130" t="s">
        <v>320</v>
      </c>
      <c r="J5" s="131" t="s">
        <v>321</v>
      </c>
      <c r="K5" s="132" t="s">
        <v>322</v>
      </c>
      <c r="L5" s="131" t="s">
        <v>323</v>
      </c>
      <c r="M5" s="131" t="s">
        <v>324</v>
      </c>
      <c r="N5" s="131" t="s">
        <v>325</v>
      </c>
      <c r="O5" s="124"/>
      <c r="P5" s="130" t="s">
        <v>326</v>
      </c>
      <c r="Q5" s="131" t="s">
        <v>327</v>
      </c>
      <c r="R5" s="131" t="s">
        <v>328</v>
      </c>
      <c r="S5" s="131" t="s">
        <v>329</v>
      </c>
      <c r="T5" s="133"/>
      <c r="U5" s="133"/>
    </row>
    <row r="6">
      <c r="A6" s="118" t="s">
        <v>330</v>
      </c>
      <c r="B6" s="128" t="s">
        <v>83</v>
      </c>
      <c r="C6" s="124"/>
      <c r="D6" s="118" t="s">
        <v>331</v>
      </c>
      <c r="E6" s="129" t="s">
        <v>332</v>
      </c>
      <c r="F6" s="129" t="s">
        <v>333</v>
      </c>
      <c r="G6" s="129" t="s">
        <v>334</v>
      </c>
      <c r="H6" s="124"/>
      <c r="I6" s="130" t="s">
        <v>335</v>
      </c>
      <c r="J6" s="131" t="s">
        <v>321</v>
      </c>
      <c r="K6" s="132" t="s">
        <v>336</v>
      </c>
      <c r="L6" s="131" t="s">
        <v>337</v>
      </c>
      <c r="M6" s="131" t="s">
        <v>338</v>
      </c>
      <c r="N6" s="131" t="s">
        <v>339</v>
      </c>
      <c r="O6" s="124"/>
      <c r="P6" s="130" t="s">
        <v>340</v>
      </c>
      <c r="Q6" s="132" t="s">
        <v>316</v>
      </c>
      <c r="R6" s="131" t="s">
        <v>341</v>
      </c>
      <c r="S6" s="131" t="s">
        <v>342</v>
      </c>
      <c r="T6" s="133"/>
      <c r="U6" s="133"/>
    </row>
    <row r="7">
      <c r="A7" s="124"/>
      <c r="B7" s="124"/>
      <c r="C7" s="124"/>
      <c r="D7" s="118" t="s">
        <v>343</v>
      </c>
      <c r="E7" s="129" t="s">
        <v>344</v>
      </c>
      <c r="F7" s="129" t="s">
        <v>345</v>
      </c>
      <c r="G7" s="129" t="s">
        <v>346</v>
      </c>
      <c r="H7" s="124"/>
      <c r="I7" s="130" t="s">
        <v>347</v>
      </c>
      <c r="J7" s="131" t="s">
        <v>321</v>
      </c>
      <c r="K7" s="131" t="s">
        <v>348</v>
      </c>
      <c r="L7" s="131" t="s">
        <v>349</v>
      </c>
      <c r="M7" s="131" t="s">
        <v>350</v>
      </c>
      <c r="N7" s="131" t="s">
        <v>351</v>
      </c>
      <c r="O7" s="124"/>
      <c r="P7" s="130" t="s">
        <v>352</v>
      </c>
      <c r="Q7" s="132" t="s">
        <v>353</v>
      </c>
      <c r="R7" s="131" t="s">
        <v>354</v>
      </c>
      <c r="S7" s="131" t="s">
        <v>355</v>
      </c>
      <c r="T7" s="133"/>
      <c r="U7" s="133"/>
    </row>
    <row r="8">
      <c r="A8" s="124"/>
      <c r="B8" s="124"/>
      <c r="C8" s="124"/>
      <c r="D8" s="118" t="s">
        <v>356</v>
      </c>
      <c r="E8" s="129" t="s">
        <v>344</v>
      </c>
      <c r="F8" s="129" t="s">
        <v>357</v>
      </c>
      <c r="G8" s="129" t="s">
        <v>358</v>
      </c>
      <c r="H8" s="124"/>
      <c r="I8" s="130" t="s">
        <v>359</v>
      </c>
      <c r="J8" s="131" t="s">
        <v>321</v>
      </c>
      <c r="K8" s="131" t="s">
        <v>360</v>
      </c>
      <c r="L8" s="131" t="s">
        <v>349</v>
      </c>
      <c r="M8" s="131" t="s">
        <v>361</v>
      </c>
      <c r="N8" s="131" t="s">
        <v>362</v>
      </c>
      <c r="O8" s="124"/>
      <c r="P8" s="124"/>
      <c r="Q8" s="124"/>
      <c r="R8" s="124"/>
      <c r="S8" s="124"/>
      <c r="T8" s="124"/>
      <c r="U8" s="124"/>
    </row>
    <row r="9">
      <c r="A9" s="124"/>
      <c r="B9" s="124"/>
      <c r="C9" s="124"/>
      <c r="D9" s="134" t="s">
        <v>311</v>
      </c>
      <c r="E9" s="129" t="s">
        <v>363</v>
      </c>
      <c r="F9" s="135" t="s">
        <v>364</v>
      </c>
      <c r="G9" s="129" t="s">
        <v>365</v>
      </c>
      <c r="H9" s="124"/>
      <c r="I9" s="130" t="s">
        <v>366</v>
      </c>
      <c r="J9" s="131" t="s">
        <v>367</v>
      </c>
      <c r="K9" s="132" t="s">
        <v>368</v>
      </c>
      <c r="L9" s="131" t="s">
        <v>369</v>
      </c>
      <c r="M9" s="131" t="s">
        <v>370</v>
      </c>
      <c r="N9" s="131" t="s">
        <v>371</v>
      </c>
      <c r="O9" s="124"/>
      <c r="P9" s="124"/>
      <c r="Q9" s="124"/>
      <c r="R9" s="124"/>
      <c r="S9" s="124"/>
      <c r="T9" s="124"/>
      <c r="U9" s="124"/>
    </row>
    <row r="10">
      <c r="A10" s="124"/>
      <c r="B10" s="124"/>
      <c r="C10" s="124"/>
      <c r="D10" s="136" t="s">
        <v>372</v>
      </c>
      <c r="E10" s="135" t="s">
        <v>373</v>
      </c>
      <c r="F10" s="137" t="s">
        <v>374</v>
      </c>
      <c r="G10" s="137" t="s">
        <v>375</v>
      </c>
      <c r="H10" s="124"/>
      <c r="I10" s="130" t="s">
        <v>376</v>
      </c>
      <c r="J10" s="131" t="s">
        <v>367</v>
      </c>
      <c r="K10" s="131" t="s">
        <v>377</v>
      </c>
      <c r="L10" s="131" t="s">
        <v>378</v>
      </c>
      <c r="M10" s="131" t="s">
        <v>379</v>
      </c>
      <c r="N10" s="131" t="s">
        <v>380</v>
      </c>
      <c r="O10" s="124"/>
      <c r="P10" s="138"/>
      <c r="Q10" s="124"/>
      <c r="R10" s="124"/>
      <c r="S10" s="124"/>
      <c r="T10" s="124"/>
      <c r="U10" s="124"/>
    </row>
    <row r="11">
      <c r="A11" s="124"/>
      <c r="B11" s="124"/>
      <c r="C11" s="124"/>
      <c r="H11" s="124"/>
      <c r="I11" s="130" t="s">
        <v>381</v>
      </c>
      <c r="J11" s="131" t="s">
        <v>367</v>
      </c>
      <c r="K11" s="131" t="s">
        <v>382</v>
      </c>
      <c r="L11" s="131" t="s">
        <v>349</v>
      </c>
      <c r="M11" s="131" t="s">
        <v>350</v>
      </c>
      <c r="N11" s="131" t="s">
        <v>383</v>
      </c>
      <c r="O11" s="124"/>
      <c r="P11" s="58"/>
      <c r="Q11" s="58"/>
      <c r="R11" s="58"/>
      <c r="S11" s="58"/>
      <c r="T11" s="124"/>
      <c r="U11" s="124"/>
    </row>
    <row r="12">
      <c r="A12" s="124"/>
      <c r="B12" s="124"/>
      <c r="C12" s="124"/>
      <c r="D12" s="139"/>
      <c r="E12" s="139"/>
      <c r="F12" s="139"/>
      <c r="G12" s="139"/>
      <c r="H12" s="124"/>
      <c r="I12" s="130" t="s">
        <v>384</v>
      </c>
      <c r="J12" s="131" t="s">
        <v>367</v>
      </c>
      <c r="K12" s="131" t="s">
        <v>385</v>
      </c>
      <c r="L12" s="131" t="s">
        <v>369</v>
      </c>
      <c r="M12" s="131" t="s">
        <v>386</v>
      </c>
      <c r="N12" s="131" t="s">
        <v>387</v>
      </c>
      <c r="O12" s="124"/>
      <c r="T12" s="124"/>
      <c r="U12" s="124"/>
    </row>
    <row r="13">
      <c r="A13" s="124"/>
      <c r="B13" s="124"/>
      <c r="C13" s="124"/>
      <c r="D13" s="140" t="s">
        <v>388</v>
      </c>
      <c r="E13" s="141"/>
      <c r="F13" s="141"/>
      <c r="G13" s="141"/>
      <c r="H13" s="124"/>
      <c r="I13" s="130" t="s">
        <v>389</v>
      </c>
      <c r="J13" s="131" t="s">
        <v>367</v>
      </c>
      <c r="K13" s="131" t="s">
        <v>390</v>
      </c>
      <c r="L13" s="131" t="s">
        <v>369</v>
      </c>
      <c r="M13" s="131" t="s">
        <v>391</v>
      </c>
      <c r="N13" s="131" t="s">
        <v>392</v>
      </c>
      <c r="O13" s="124"/>
      <c r="P13" s="44"/>
      <c r="Q13" s="142"/>
      <c r="R13" s="44"/>
      <c r="S13" s="44"/>
      <c r="T13" s="124"/>
      <c r="U13" s="124"/>
    </row>
    <row r="14">
      <c r="A14" s="124"/>
      <c r="B14" s="124"/>
      <c r="C14" s="124"/>
      <c r="D14" s="143" t="s">
        <v>134</v>
      </c>
      <c r="E14" s="144" t="s">
        <v>317</v>
      </c>
      <c r="F14" s="144" t="s">
        <v>393</v>
      </c>
      <c r="G14" s="144" t="s">
        <v>394</v>
      </c>
      <c r="H14" s="124"/>
      <c r="I14" s="130" t="s">
        <v>395</v>
      </c>
      <c r="J14" s="131" t="s">
        <v>367</v>
      </c>
      <c r="K14" s="131" t="s">
        <v>396</v>
      </c>
      <c r="L14" s="131" t="s">
        <v>378</v>
      </c>
      <c r="M14" s="131" t="s">
        <v>397</v>
      </c>
      <c r="N14" s="131" t="s">
        <v>398</v>
      </c>
      <c r="O14" s="124"/>
      <c r="P14" s="44"/>
      <c r="Q14" s="142"/>
      <c r="R14" s="44"/>
      <c r="S14" s="44"/>
    </row>
    <row r="15">
      <c r="A15" s="124"/>
      <c r="B15" s="124"/>
      <c r="C15" s="124"/>
      <c r="D15" s="145"/>
      <c r="E15" s="145"/>
      <c r="F15" s="145"/>
      <c r="G15" s="145"/>
      <c r="H15" s="124"/>
      <c r="I15" s="130" t="s">
        <v>399</v>
      </c>
      <c r="J15" s="131" t="s">
        <v>367</v>
      </c>
      <c r="K15" s="131" t="s">
        <v>360</v>
      </c>
      <c r="L15" s="131" t="s">
        <v>349</v>
      </c>
      <c r="M15" s="131" t="s">
        <v>400</v>
      </c>
      <c r="N15" s="131" t="s">
        <v>401</v>
      </c>
      <c r="O15" s="124"/>
      <c r="P15" s="44"/>
      <c r="Q15" s="142"/>
      <c r="R15" s="44"/>
      <c r="S15" s="44"/>
      <c r="T15" s="124"/>
      <c r="U15" s="124"/>
    </row>
    <row r="16">
      <c r="A16" s="124"/>
      <c r="B16" s="124"/>
      <c r="C16" s="124"/>
      <c r="D16" s="121" t="s">
        <v>402</v>
      </c>
      <c r="E16" s="124"/>
      <c r="F16" s="124"/>
      <c r="G16" s="124"/>
      <c r="H16" s="124"/>
      <c r="I16" s="130" t="s">
        <v>403</v>
      </c>
      <c r="J16" s="131" t="s">
        <v>367</v>
      </c>
      <c r="K16" s="131" t="s">
        <v>404</v>
      </c>
      <c r="L16" s="131" t="s">
        <v>349</v>
      </c>
      <c r="M16" s="131" t="s">
        <v>405</v>
      </c>
      <c r="N16" s="131" t="s">
        <v>406</v>
      </c>
      <c r="O16" s="124"/>
      <c r="P16" s="44"/>
      <c r="Q16" s="142"/>
      <c r="R16" s="44"/>
      <c r="S16" s="44"/>
      <c r="T16" s="124"/>
      <c r="U16" s="124"/>
    </row>
    <row r="17">
      <c r="A17" s="124"/>
      <c r="B17" s="124"/>
      <c r="C17" s="124"/>
      <c r="D17" s="124"/>
      <c r="E17" s="124"/>
      <c r="F17" s="124"/>
      <c r="G17" s="124"/>
      <c r="H17" s="124"/>
      <c r="I17" s="130" t="s">
        <v>407</v>
      </c>
      <c r="J17" s="131" t="s">
        <v>367</v>
      </c>
      <c r="K17" s="131" t="s">
        <v>408</v>
      </c>
      <c r="L17" s="131" t="s">
        <v>378</v>
      </c>
      <c r="M17" s="132" t="s">
        <v>409</v>
      </c>
      <c r="N17" s="131" t="s">
        <v>410</v>
      </c>
      <c r="O17" s="124"/>
      <c r="P17" s="44"/>
      <c r="Q17" s="142"/>
      <c r="R17" s="44"/>
      <c r="S17" s="44"/>
      <c r="T17" s="124"/>
      <c r="U17" s="124"/>
    </row>
    <row r="18">
      <c r="A18" s="124"/>
      <c r="B18" s="124"/>
      <c r="C18" s="124"/>
      <c r="D18" s="118" t="s">
        <v>309</v>
      </c>
      <c r="E18" s="118" t="s">
        <v>310</v>
      </c>
      <c r="F18" s="118" t="s">
        <v>311</v>
      </c>
      <c r="G18" s="118" t="s">
        <v>312</v>
      </c>
      <c r="H18" s="124"/>
      <c r="I18" s="130" t="s">
        <v>411</v>
      </c>
      <c r="J18" s="131" t="s">
        <v>367</v>
      </c>
      <c r="K18" s="131" t="s">
        <v>412</v>
      </c>
      <c r="L18" s="131" t="s">
        <v>369</v>
      </c>
      <c r="M18" s="131" t="s">
        <v>413</v>
      </c>
      <c r="N18" s="131" t="s">
        <v>414</v>
      </c>
      <c r="O18" s="124"/>
      <c r="P18" s="124"/>
      <c r="Q18" s="124"/>
      <c r="R18" s="124"/>
      <c r="S18" s="124"/>
      <c r="T18" s="124"/>
      <c r="U18" s="124"/>
    </row>
    <row r="19">
      <c r="A19" s="124"/>
      <c r="B19" s="124"/>
      <c r="C19" s="124"/>
      <c r="D19" s="118" t="s">
        <v>393</v>
      </c>
      <c r="E19" s="146"/>
      <c r="F19" s="146"/>
      <c r="G19" s="146"/>
      <c r="H19" s="124"/>
      <c r="I19" s="130" t="s">
        <v>415</v>
      </c>
      <c r="J19" s="131" t="s">
        <v>367</v>
      </c>
      <c r="K19" s="131" t="s">
        <v>416</v>
      </c>
      <c r="L19" s="131" t="s">
        <v>378</v>
      </c>
      <c r="M19" s="131" t="s">
        <v>417</v>
      </c>
      <c r="N19" s="131" t="s">
        <v>418</v>
      </c>
      <c r="O19" s="124"/>
      <c r="P19" s="124"/>
      <c r="Q19" s="124"/>
      <c r="R19" s="124"/>
      <c r="S19" s="124"/>
      <c r="T19" s="124"/>
      <c r="U19" s="124"/>
    </row>
    <row r="20">
      <c r="A20" s="124"/>
      <c r="B20" s="124"/>
      <c r="C20" s="124"/>
      <c r="D20" s="146"/>
      <c r="E20" s="146"/>
      <c r="F20" s="146"/>
      <c r="G20" s="146"/>
      <c r="H20" s="124"/>
      <c r="I20" s="130" t="s">
        <v>419</v>
      </c>
      <c r="J20" s="131" t="s">
        <v>367</v>
      </c>
      <c r="K20" s="131" t="s">
        <v>420</v>
      </c>
      <c r="L20" s="131" t="s">
        <v>378</v>
      </c>
      <c r="M20" s="131" t="s">
        <v>421</v>
      </c>
      <c r="N20" s="131" t="s">
        <v>422</v>
      </c>
      <c r="O20" s="124"/>
      <c r="P20" s="124"/>
      <c r="R20" s="124"/>
      <c r="S20" s="124"/>
      <c r="T20" s="124"/>
      <c r="U20" s="124"/>
    </row>
    <row r="21">
      <c r="A21" s="124"/>
      <c r="B21" s="124"/>
      <c r="C21" s="124"/>
      <c r="D21" s="146"/>
      <c r="E21" s="146"/>
      <c r="F21" s="146"/>
      <c r="G21" s="146"/>
      <c r="H21" s="124"/>
      <c r="I21" s="130" t="s">
        <v>423</v>
      </c>
      <c r="J21" s="131" t="s">
        <v>367</v>
      </c>
      <c r="K21" s="131" t="s">
        <v>424</v>
      </c>
      <c r="L21" s="131" t="s">
        <v>425</v>
      </c>
      <c r="M21" s="131" t="s">
        <v>426</v>
      </c>
      <c r="N21" s="131" t="s">
        <v>427</v>
      </c>
      <c r="O21" s="124"/>
      <c r="P21" s="124"/>
      <c r="Q21" s="124"/>
      <c r="R21" s="124"/>
      <c r="S21" s="124"/>
      <c r="T21" s="124"/>
      <c r="U21" s="124"/>
    </row>
    <row r="22">
      <c r="A22" s="124"/>
      <c r="B22" s="124"/>
      <c r="C22" s="124"/>
      <c r="D22" s="146"/>
      <c r="E22" s="146"/>
      <c r="F22" s="146"/>
      <c r="G22" s="146"/>
      <c r="H22" s="124"/>
      <c r="I22" s="147" t="s">
        <v>428</v>
      </c>
      <c r="J22" s="131" t="s">
        <v>367</v>
      </c>
      <c r="K22" s="131" t="s">
        <v>429</v>
      </c>
      <c r="L22" s="131" t="s">
        <v>378</v>
      </c>
      <c r="M22" s="131" t="s">
        <v>430</v>
      </c>
      <c r="N22" s="131" t="s">
        <v>431</v>
      </c>
      <c r="O22" s="124"/>
      <c r="P22" s="124"/>
      <c r="Q22" s="124"/>
      <c r="R22" s="124"/>
      <c r="S22" s="124"/>
      <c r="T22" s="124"/>
      <c r="U22" s="124"/>
    </row>
    <row r="23">
      <c r="A23" s="124"/>
      <c r="B23" s="124"/>
      <c r="C23" s="124"/>
      <c r="D23" s="146"/>
      <c r="E23" s="146"/>
      <c r="F23" s="146"/>
      <c r="G23" s="146"/>
      <c r="H23" s="124"/>
      <c r="I23" s="148" t="s">
        <v>432</v>
      </c>
      <c r="J23" s="137" t="s">
        <v>367</v>
      </c>
      <c r="K23" s="137" t="s">
        <v>433</v>
      </c>
      <c r="L23" s="137" t="s">
        <v>349</v>
      </c>
      <c r="M23" s="137" t="s">
        <v>434</v>
      </c>
      <c r="N23" s="137" t="s">
        <v>435</v>
      </c>
      <c r="O23" s="124"/>
      <c r="P23" s="124"/>
      <c r="Q23" s="124"/>
      <c r="R23" s="124"/>
      <c r="S23" s="124"/>
      <c r="T23" s="124"/>
      <c r="U23" s="124"/>
    </row>
    <row r="24">
      <c r="A24" s="124"/>
      <c r="B24" s="124"/>
      <c r="C24" s="124"/>
      <c r="D24" s="146"/>
      <c r="E24" s="146"/>
      <c r="F24" s="146"/>
      <c r="G24" s="146"/>
      <c r="H24" s="124"/>
      <c r="O24" s="124"/>
      <c r="P24" s="124"/>
      <c r="Q24" s="124"/>
      <c r="R24" s="124"/>
      <c r="S24" s="124"/>
      <c r="T24" s="124"/>
      <c r="U24" s="124"/>
    </row>
    <row r="25">
      <c r="A25" s="124"/>
      <c r="B25" s="124"/>
      <c r="C25" s="124"/>
      <c r="D25" s="146"/>
      <c r="E25" s="146"/>
      <c r="F25" s="146"/>
      <c r="G25" s="146"/>
      <c r="H25" s="124"/>
      <c r="I25" s="124"/>
      <c r="J25" s="124"/>
      <c r="K25" s="125"/>
      <c r="L25" s="124"/>
      <c r="M25" s="124"/>
      <c r="N25" s="124"/>
      <c r="O25" s="124"/>
      <c r="P25" s="124"/>
      <c r="Q25" s="124"/>
      <c r="R25" s="124"/>
      <c r="S25" s="124"/>
      <c r="T25" s="124"/>
      <c r="U25" s="124"/>
    </row>
    <row r="26">
      <c r="A26" s="124"/>
      <c r="B26" s="124"/>
      <c r="C26" s="124"/>
      <c r="D26" s="146"/>
      <c r="E26" s="146"/>
      <c r="F26" s="146"/>
      <c r="G26" s="146"/>
      <c r="H26" s="124"/>
      <c r="I26" s="124"/>
      <c r="J26" s="124"/>
      <c r="K26" s="125"/>
      <c r="L26" s="124"/>
      <c r="M26" s="124"/>
      <c r="N26" s="124"/>
      <c r="O26" s="124"/>
      <c r="P26" s="124"/>
      <c r="Q26" s="124"/>
      <c r="R26" s="124"/>
      <c r="S26" s="124"/>
      <c r="T26" s="124"/>
      <c r="U26" s="124"/>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25.13"/>
    <col customWidth="1" min="3" max="5" width="12.63"/>
  </cols>
  <sheetData>
    <row r="1">
      <c r="A1" s="149" t="str">
        <f>'Project Team'!A1</f>
        <v>Last Name</v>
      </c>
      <c r="B1" s="149" t="str">
        <f>'Project Team'!B1</f>
        <v>First Name</v>
      </c>
      <c r="C1" s="150" t="s">
        <v>436</v>
      </c>
      <c r="D1" s="151"/>
      <c r="E1" s="152"/>
      <c r="F1" s="153"/>
      <c r="G1" s="154"/>
      <c r="H1" s="154"/>
    </row>
    <row r="2">
      <c r="A2" s="155" t="str">
        <f>'Project Team'!A2</f>
        <v>Böhm</v>
      </c>
      <c r="B2" s="155" t="str">
        <f>'Project Team'!B2</f>
        <v>Luca</v>
      </c>
      <c r="C2" s="156"/>
      <c r="D2" s="157"/>
      <c r="E2" s="158" t="str">
        <f>average(C2:C10)</f>
        <v>#DIV/0!</v>
      </c>
      <c r="F2" s="159" t="str">
        <f>if(stdev(C2:C7) &gt; 0,"NOK", "OK")</f>
        <v>#DIV/0!</v>
      </c>
      <c r="G2" s="160"/>
      <c r="H2" s="160"/>
    </row>
    <row r="3">
      <c r="A3" s="161" t="str">
        <f>'Project Team'!A3</f>
        <v>Meusling</v>
      </c>
      <c r="B3" s="161" t="str">
        <f>'Project Team'!B3</f>
        <v>Patrick</v>
      </c>
      <c r="C3" s="156"/>
      <c r="D3" s="162"/>
      <c r="G3" s="163"/>
      <c r="H3" s="163"/>
    </row>
    <row r="4">
      <c r="A4" s="155" t="str">
        <f>'Project Team'!A4</f>
        <v>Arifin</v>
      </c>
      <c r="B4" s="155" t="str">
        <f>'Project Team'!B4</f>
        <v>Hafidz</v>
      </c>
      <c r="C4" s="164"/>
      <c r="D4" s="157"/>
      <c r="G4" s="160"/>
      <c r="H4" s="160"/>
    </row>
    <row r="5">
      <c r="A5" s="161" t="str">
        <f>'Project Team'!A5</f>
        <v>Huy</v>
      </c>
      <c r="B5" s="161" t="str">
        <f>'Project Team'!B5</f>
        <v>Christoph</v>
      </c>
      <c r="C5" s="156"/>
      <c r="D5" s="165"/>
      <c r="E5" s="165"/>
      <c r="F5" s="165"/>
      <c r="G5" s="163"/>
      <c r="H5" s="163"/>
    </row>
    <row r="6">
      <c r="A6" s="155" t="str">
        <f>'Project Team'!A6</f>
        <v>Selbig</v>
      </c>
      <c r="B6" s="155" t="str">
        <f>'Project Team'!B6</f>
        <v>Simon</v>
      </c>
      <c r="C6" s="156"/>
      <c r="D6" s="166"/>
      <c r="E6" s="167">
        <v>0.0</v>
      </c>
      <c r="F6" s="168" t="s">
        <v>437</v>
      </c>
      <c r="G6" s="160"/>
      <c r="H6" s="160"/>
    </row>
    <row r="7">
      <c r="A7" s="161" t="str">
        <f>'Project Team'!A7</f>
        <v>Haseeb</v>
      </c>
      <c r="B7" s="161" t="str">
        <f>'Project Team'!B7</f>
        <v>Abdul</v>
      </c>
      <c r="C7" s="156"/>
      <c r="D7" s="165"/>
      <c r="E7" s="167">
        <v>1.0</v>
      </c>
      <c r="F7" s="168" t="s">
        <v>438</v>
      </c>
      <c r="G7" s="163"/>
      <c r="H7" s="163"/>
    </row>
    <row r="8">
      <c r="A8" s="155" t="str">
        <f>'Project Team'!A8</f>
        <v>Pohnke</v>
      </c>
      <c r="B8" s="155" t="str">
        <f>'Project Team'!B8</f>
        <v>Hannes</v>
      </c>
      <c r="C8" s="156"/>
      <c r="D8" s="166"/>
      <c r="E8" s="167">
        <v>2.0</v>
      </c>
      <c r="F8" s="168" t="s">
        <v>439</v>
      </c>
      <c r="G8" s="160"/>
      <c r="H8" s="160"/>
    </row>
    <row r="9">
      <c r="A9" s="161" t="str">
        <f>'Project Team'!A9</f>
        <v>Jokiel</v>
      </c>
      <c r="B9" s="161" t="str">
        <f>'Project Team'!B9</f>
        <v>Rene</v>
      </c>
      <c r="C9" s="156"/>
      <c r="D9" s="165"/>
      <c r="E9" s="167">
        <v>3.0</v>
      </c>
      <c r="F9" s="168" t="s">
        <v>440</v>
      </c>
      <c r="G9" s="163"/>
      <c r="H9" s="163"/>
    </row>
    <row r="10">
      <c r="A10" s="155" t="str">
        <f>'Project Team'!A10</f>
        <v>Khabouze</v>
      </c>
      <c r="B10" s="155" t="str">
        <f>'Project Team'!B10</f>
        <v>Mehdi</v>
      </c>
      <c r="C10" s="156"/>
      <c r="D10" s="166"/>
      <c r="E10" s="167">
        <v>5.0</v>
      </c>
      <c r="F10" s="168" t="s">
        <v>441</v>
      </c>
      <c r="G10" s="160"/>
      <c r="H10" s="160"/>
    </row>
    <row r="11">
      <c r="A11" s="161"/>
      <c r="B11" s="161"/>
      <c r="C11" s="164"/>
      <c r="D11" s="165"/>
      <c r="E11" s="167">
        <v>8.0</v>
      </c>
      <c r="F11" s="168" t="s">
        <v>442</v>
      </c>
      <c r="G11" s="163"/>
      <c r="H11" s="163"/>
    </row>
    <row r="12">
      <c r="A12" s="155"/>
      <c r="B12" s="155"/>
      <c r="C12" s="164"/>
      <c r="D12" s="166"/>
      <c r="E12" s="167">
        <v>13.0</v>
      </c>
      <c r="F12" s="168" t="s">
        <v>443</v>
      </c>
      <c r="G12" s="160"/>
      <c r="H12" s="160"/>
    </row>
    <row r="13">
      <c r="A13" s="161"/>
      <c r="B13" s="161"/>
      <c r="C13" s="165"/>
      <c r="D13" s="165"/>
      <c r="E13" s="165"/>
      <c r="F13" s="165"/>
      <c r="G13" s="163"/>
      <c r="H13" s="163"/>
    </row>
    <row r="14">
      <c r="A14" s="169" t="s">
        <v>444</v>
      </c>
      <c r="B14" s="170"/>
      <c r="C14" s="170"/>
      <c r="D14" s="170"/>
      <c r="E14" s="170"/>
      <c r="F14" s="170"/>
      <c r="G14" s="170"/>
      <c r="H14" s="170"/>
    </row>
    <row r="15">
      <c r="A15" s="171"/>
      <c r="B15" s="171"/>
      <c r="C15" s="171"/>
      <c r="D15" s="171"/>
      <c r="E15" s="171"/>
      <c r="F15" s="171"/>
      <c r="G15" s="171"/>
      <c r="H15" s="171"/>
    </row>
    <row r="16">
      <c r="A16" s="172" t="s">
        <v>445</v>
      </c>
      <c r="B16" s="173"/>
      <c r="C16" s="173"/>
      <c r="D16" s="173"/>
      <c r="E16" s="173"/>
      <c r="F16" s="173"/>
      <c r="G16" s="173"/>
      <c r="H16" s="173"/>
    </row>
    <row r="17">
      <c r="A17" s="174" t="s">
        <v>446</v>
      </c>
      <c r="B17" s="171"/>
      <c r="C17" s="171"/>
      <c r="D17" s="171"/>
      <c r="E17" s="171"/>
      <c r="F17" s="171"/>
      <c r="G17" s="171"/>
      <c r="H17" s="171"/>
    </row>
    <row r="18">
      <c r="A18" s="172" t="s">
        <v>447</v>
      </c>
      <c r="B18" s="173"/>
      <c r="C18" s="173"/>
      <c r="D18" s="173"/>
      <c r="E18" s="173"/>
      <c r="F18" s="173"/>
      <c r="G18" s="173"/>
      <c r="H18" s="173"/>
    </row>
    <row r="19">
      <c r="A19" s="171"/>
      <c r="B19" s="171"/>
      <c r="C19" s="171"/>
      <c r="D19" s="171"/>
      <c r="E19" s="171"/>
      <c r="F19" s="171"/>
      <c r="G19" s="171"/>
      <c r="H19" s="171"/>
    </row>
    <row r="20">
      <c r="A20" s="173"/>
      <c r="B20" s="173"/>
      <c r="C20" s="173"/>
      <c r="D20" s="173"/>
      <c r="E20" s="173"/>
      <c r="F20" s="173"/>
      <c r="G20" s="173"/>
      <c r="H20" s="173"/>
    </row>
  </sheetData>
  <mergeCells count="2">
    <mergeCell ref="E2:E4"/>
    <mergeCell ref="F2:F4"/>
  </mergeCells>
  <printOptions gridLines="1" horizontalCentered="1"/>
  <pageMargins bottom="0.75" footer="0.0" header="0.0" left="0.7" right="0.7" top="0.75"/>
  <pageSetup fitToHeight="0" paperSize="9" cellComments="atEnd" orientation="landscape" pageOrder="overThenDown"/>
  <drawing r:id="rId1"/>
</worksheet>
</file>