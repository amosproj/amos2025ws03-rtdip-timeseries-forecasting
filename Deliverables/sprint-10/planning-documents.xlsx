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 Burndown Chart" sheetId="11" r:id="rId13"/>
    <sheet state="visible" name="Final Project Release plan" sheetId="12" r:id="rId14"/>
    <sheet state="visible" name="Final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<sst xmlns="http://schemas.openxmlformats.org/spreadsheetml/2006/main" count="617" uniqueCount="449">
  <si>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</si>
  <si>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</si>
  <si>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</si>
  <si>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</si>
  <si>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</si>
  <si>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</si>
  <si>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</si>
  <si>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</si>
  <si>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</si>
  <si>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</si>
  <si>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</si>
  <si>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</si>
  <si>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</si>
  <si>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</si>
  <si>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</si>
  <si>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</si>
  <si>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</si>
  <si>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</si>
  <si>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</si>
  <si>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</si>
  <si>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</si>
  <si>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</si>
  <si>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</si>
  <si>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</si>
  <si>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</si>
  <si>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</si>
  <si>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</si>
  <si>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</si>
  <si>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</si>
  <si>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</si>
  <si>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</si>
  <si>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</si>
  <si>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</si>
  <si>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</si>
  <si>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</si>
  <si>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</si>
  <si>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</si>
  <si>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</si>
  <si>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</si>
  <si>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</si>
  <si>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</si>
  <si>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</si>
  <si>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</si>
  <si>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</si>
  <si>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</si>
  <si>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</si>
  <si>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</si>
  <si>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</si>
  <si>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</si>
  <si>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</si>
  <si>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</si>
  <si>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</si>
  <si>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</si>
  <si>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</si>
  <si>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</si>
  <si>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</si>
  <si>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</si>
  <si>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</si>
  <si>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</si>
  <si>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</si>
  <si>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</si>
  <si>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</si>
  <si>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</si>
  <si>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</si>
  <si>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</si>
  <si>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</si>
  <si>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</si>
  <si>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</si>
  <si>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</si>
  <si>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</si>
  <si>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</si>
  <si>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</si>
  <si>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</si>
  <si>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</si>
  <si>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</si>
  <si>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</si>
  <si>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</si>
  <si>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</si>
  <si>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</si>
  <si>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</si>
  <si>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</si>
  <si>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</si>
  <si>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</si>
  <si>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</si>
  <si>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</si>
  <si>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</si>
  <si>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</si>
  <si>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</si>
  <si>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</si>
  <si>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</si>
  <si>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</si>
  <si>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</si>
  <si>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</si>
  <si>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</si>
  <si>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</si>
  <si>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</si>
  <si>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</si>
  <si>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</si>
  <si>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</si>
  <si>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</si>
  <si>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</si>
  <si>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</si>
  <si>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</si>
  <si>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</si>
  <si>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</si>
  <si>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</si>
  <si>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</si>
  <si>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</si>
  <si>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</si>
  <si>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</si>
  <si>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</si>
  <si>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</si>
  <si>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</si>
  <si>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</si>
  <si>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</si>
  <si>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</si>
  <si>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</si>
  <si>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</si>
  <si>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</si>
  <si>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</si>
  <si>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</si>
  <si>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</si>
  <si>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</si>
  <si>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</si>
  <si>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</si>
  <si>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</si>
  <si>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</si>
  <si>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</si>
  <si>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</si>
  <si>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</si>
  <si>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</si>
  <si>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</si>
  <si>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</si>
  <si>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</si>
  <si>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</si>
  <si>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</si>
  <si>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</si>
  <si>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</si>
  <si>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</si>
  <si>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</si>
  <si>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</si>
  <si>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</si>
  <si>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</si>
  <si>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</si>
  <si>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</si>
  <si>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</si>
  <si>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</si>
  <si>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</si>
  <si>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</si>
  <si>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</si>
  <si>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</si>
  <si>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</si>
  <si>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</si>
  <si>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</si>
  <si>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</si>
  <si>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</si>
  <si>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</si>
  <si>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</si>
  <si>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</si>
  <si>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</si>
  <si>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</si>
  <si>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</si>
  <si>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</si>
  <si>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</si>
  <si>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</si>
  <si>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</si>
  <si>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</si>
  <si>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</si>
  <si>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</si>
  <si>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</si>
  <si>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</si>
  <si>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</si>
  <si>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</si>
  <si>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</si>
  <si>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</si>
  <si>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</si>
  <si>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</si>
  <si>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</si>
  <si>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</si>
  <si>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</si>
  <si>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</si>
  <si>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</si>
  <si>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</si>
  <si>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</si>
  <si>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</si>
  <si>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</si>
  <si>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</si>
  <si>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</si>
  <si>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</si>
  <si>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</si>
  <si>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</si>
  <si>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</si>
  <si>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</si>
  <si>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</si>
  <si>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</si>
  <si>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</si>
  <si>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</si>
  <si>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</si>
  <si>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</si>
  <si>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</si>
  <si>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</si>
  <si>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</si>
  <si>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</si>
  <si>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</si>
  <si>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</si>
  <si>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</si>
  <si>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</si>
  <si>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</si>
  <si>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</si>
  <si>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</si>
  <si>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</si>
  <si>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</si>
  <si>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</si>
  <si>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</si>
  <si>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</si>
  <si>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</si>
  <si>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</si>
  <si>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</si>
  <si>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</si>
  <si>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</si>
  <si>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</si>
  <si>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</si>
  <si>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</si>
  <si>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</si>
  <si>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 xml:space="preserve">Smaller features for more/diffrent preprocessing etc. </t>
  </si>
  <si>
    <t>Demo Day Preparation</t>
  </si>
  <si>
    <t>Finish the Project</t>
  </si>
  <si>
    <t>Adjust and Fix CI/CD Pipeline</t>
  </si>
  <si>
    <t>Not completed</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</si>
  <si>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</si>
  <si>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</si>
  <si>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</si>
  <si>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</si>
  <si>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</si>
  <si>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</si>
  <si>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</si>
  <si>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</si>
  <si>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</si>
  <si>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Optimization and Improvement of Anomaly Detection Approach</t>
  </si>
  <si>
    <t>Timeseries Forecasting Improvement with Other Models (Person 1)</t>
  </si>
  <si>
    <t>Integrate Timeseries Forecasting Results Visualization into the SDK</t>
  </si>
  <si>
    <t>Not Completed</t>
  </si>
  <si>
    <t>Apply Timeseries Decomposition on shell Dataset</t>
  </si>
  <si>
    <t>Timeseries Forecasting Improvement with Other Models (Person 2)</t>
  </si>
  <si>
    <t>Refactor Components for Spark-Compatible API</t>
  </si>
  <si>
    <t>Document previous features in the software architecture</t>
  </si>
  <si>
    <t>Adjusting previous features to base enviroment</t>
  </si>
  <si>
    <t>Base Enviroment</t>
  </si>
  <si>
    <t>Add Visualiualization Component for Anomaly Detection</t>
  </si>
  <si>
    <t xml:space="preserve">Testing our own and new model approaches </t>
  </si>
  <si>
    <t>Timeseries Forecasting Improvement by Combining FEs from Best Models</t>
  </si>
  <si>
    <t>Timeseries Forecasting Improvement with Exogenous Variables</t>
  </si>
  <si>
    <t>Timeseries Forecasting Improvement with Other Models</t>
  </si>
  <si>
    <t>Timeseries Forecasting Improvement by Trying Different Versions of Models</t>
  </si>
  <si>
    <t>Finish the Product</t>
  </si>
  <si>
    <t>Adjusting our new approaches based on Customer Feedback</t>
  </si>
  <si>
    <t xml:space="preserve">Final Refactoring </t>
  </si>
  <si>
    <t>Testing our own and new preprocessing approaches</t>
  </si>
  <si>
    <t>Testing our own and new postprocessing approaches</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</si>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</sst>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4">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999517991"/>
        <c:axId val="82142854"/>
      </c:barChart>
      <c:catAx>
        <c:axId val="99951799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82142854"/>
      </c:catAx>
      <c:valAx>
        <c:axId val="82142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9951799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476395070"/>
        <c:axId val="1046548123"/>
      </c:barChart>
      <c:catAx>
        <c:axId val="4763950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046548123"/>
      </c:catAx>
      <c:valAx>
        <c:axId val="1046548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7639507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1983817869"/>
        <c:axId val="938411281"/>
      </c:barChart>
      <c:catAx>
        <c:axId val="198381786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38411281"/>
      </c:catAx>
      <c:valAx>
        <c:axId val="938411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83817869"/>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B18" s="38">
        <f t="shared" si="2"/>
        <v>46064</v>
      </c>
      <c r="C18" s="24" t="s">
        <v>74</v>
      </c>
      <c r="D18" s="24" t="s">
        <v>73</v>
      </c>
      <c r="E18" s="23" t="s">
        <v>75</v>
      </c>
      <c r="G18" s="21" t="s">
        <v>29</v>
      </c>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5" t="s">
        <v>87</v>
      </c>
      <c r="B1" s="46" t="s">
        <v>88</v>
      </c>
    </row>
    <row r="2">
      <c r="A2" s="6"/>
      <c r="B2" s="47" t="s">
        <v>89</v>
      </c>
    </row>
    <row r="3">
      <c r="A3" s="45" t="s">
        <v>90</v>
      </c>
      <c r="B3" s="48" t="s">
        <v>91</v>
      </c>
    </row>
    <row r="4">
      <c r="A4" s="6"/>
      <c r="B4" s="47" t="s">
        <v>92</v>
      </c>
    </row>
    <row r="5">
      <c r="A5" s="45" t="s">
        <v>93</v>
      </c>
      <c r="B5" s="48" t="s">
        <v>94</v>
      </c>
    </row>
    <row r="6">
      <c r="A6" s="6"/>
      <c r="B6" s="47" t="s">
        <v>95</v>
      </c>
    </row>
    <row r="7">
      <c r="A7" s="45" t="s">
        <v>96</v>
      </c>
      <c r="B7" s="49" t="s">
        <v>97</v>
      </c>
    </row>
    <row r="8">
      <c r="A8" s="6"/>
      <c r="B8" s="47" t="s">
        <v>98</v>
      </c>
    </row>
    <row r="9">
      <c r="A9" s="45" t="s">
        <v>99</v>
      </c>
      <c r="B9" s="48" t="s">
        <v>100</v>
      </c>
    </row>
    <row r="10">
      <c r="A10" s="6"/>
      <c r="B10" s="47" t="s">
        <v>101</v>
      </c>
    </row>
    <row r="11">
      <c r="A11" s="45" t="s">
        <v>102</v>
      </c>
      <c r="B11" s="48" t="s">
        <v>103</v>
      </c>
    </row>
    <row r="12">
      <c r="A12" s="9"/>
      <c r="B12" s="47" t="s">
        <v>104</v>
      </c>
    </row>
    <row r="13">
      <c r="A13" s="45" t="s">
        <v>105</v>
      </c>
      <c r="B13" s="48" t="s">
        <v>106</v>
      </c>
    </row>
    <row r="14">
      <c r="A14" s="9"/>
      <c r="B14" s="47" t="s">
        <v>107</v>
      </c>
    </row>
    <row r="15">
      <c r="A15" s="50" t="s">
        <v>108</v>
      </c>
      <c r="B15" s="48" t="s">
        <v>109</v>
      </c>
    </row>
    <row r="16">
      <c r="A16" s="9"/>
      <c r="B16" s="9"/>
    </row>
    <row r="17">
      <c r="A17" s="50" t="s">
        <v>110</v>
      </c>
      <c r="B17" s="48" t="s">
        <v>111</v>
      </c>
    </row>
    <row r="18">
      <c r="A18" s="9"/>
      <c r="B18" s="9"/>
    </row>
    <row r="19">
      <c r="A19" s="45"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1"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2" t="s">
        <v>116</v>
      </c>
      <c r="B1" s="52" t="s">
        <v>117</v>
      </c>
    </row>
    <row r="2">
      <c r="A2" s="53"/>
      <c r="B2" s="54"/>
    </row>
    <row r="3">
      <c r="A3" s="55" t="s">
        <v>118</v>
      </c>
      <c r="B3" s="56"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7" t="s">
        <v>120</v>
      </c>
      <c r="B1" s="58" t="s">
        <v>121</v>
      </c>
    </row>
    <row r="2">
      <c r="A2" s="59" t="s">
        <v>122</v>
      </c>
      <c r="B2" s="44" t="s">
        <v>123</v>
      </c>
    </row>
    <row r="3">
      <c r="A3" s="59" t="s">
        <v>124</v>
      </c>
      <c r="B3" s="44" t="s">
        <v>125</v>
      </c>
    </row>
    <row r="4">
      <c r="A4" s="59" t="s">
        <v>126</v>
      </c>
      <c r="B4" s="44" t="s">
        <v>127</v>
      </c>
    </row>
    <row r="5">
      <c r="A5" s="59" t="s">
        <v>128</v>
      </c>
      <c r="B5" s="44" t="s">
        <v>129</v>
      </c>
    </row>
    <row r="6">
      <c r="A6" s="59" t="s">
        <v>130</v>
      </c>
      <c r="B6" s="44" t="s">
        <v>131</v>
      </c>
    </row>
    <row r="7">
      <c r="A7" s="59" t="s">
        <v>132</v>
      </c>
      <c r="B7" s="44" t="s">
        <v>133</v>
      </c>
    </row>
    <row r="8">
      <c r="A8" s="59" t="s">
        <v>134</v>
      </c>
      <c r="B8" s="44" t="s">
        <v>135</v>
      </c>
    </row>
    <row r="9">
      <c r="A9" s="59" t="s">
        <v>136</v>
      </c>
      <c r="B9" s="44" t="s">
        <v>137</v>
      </c>
    </row>
    <row r="10">
      <c r="A10" s="59" t="s">
        <v>138</v>
      </c>
      <c r="B10" s="44" t="s">
        <v>139</v>
      </c>
    </row>
    <row r="11">
      <c r="A11" s="59" t="s">
        <v>140</v>
      </c>
      <c r="B11" s="44" t="s">
        <v>141</v>
      </c>
    </row>
    <row r="12">
      <c r="A12" s="59" t="s">
        <v>142</v>
      </c>
      <c r="B12" s="44" t="s">
        <v>143</v>
      </c>
    </row>
    <row r="13">
      <c r="A13" s="59" t="s">
        <v>144</v>
      </c>
      <c r="B13" s="44" t="s">
        <v>145</v>
      </c>
    </row>
    <row r="14">
      <c r="A14" s="59" t="s">
        <v>146</v>
      </c>
      <c r="B14" s="44" t="s">
        <v>147</v>
      </c>
    </row>
    <row r="15">
      <c r="A15" s="59" t="s">
        <v>148</v>
      </c>
      <c r="B15" s="44" t="s">
        <v>149</v>
      </c>
    </row>
    <row r="16">
      <c r="A16" s="59" t="s">
        <v>150</v>
      </c>
      <c r="B16" s="44" t="s">
        <v>151</v>
      </c>
    </row>
    <row r="17">
      <c r="A17" s="59" t="s">
        <v>152</v>
      </c>
      <c r="B17" s="44" t="s">
        <v>153</v>
      </c>
    </row>
    <row r="18">
      <c r="A18" s="59" t="s">
        <v>154</v>
      </c>
      <c r="B18" s="44" t="s">
        <v>155</v>
      </c>
    </row>
    <row r="19">
      <c r="A19" s="59" t="s">
        <v>156</v>
      </c>
      <c r="B19" s="44" t="s">
        <v>157</v>
      </c>
    </row>
    <row r="20">
      <c r="A20" s="59"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161</v>
      </c>
    </row>
    <row r="2">
      <c r="A2" s="62">
        <v>1.0</v>
      </c>
      <c r="B2" s="63" t="s">
        <v>162</v>
      </c>
    </row>
    <row r="3">
      <c r="A3" s="62">
        <f t="shared" ref="A3:A16" si="1">A2+1</f>
        <v>2</v>
      </c>
      <c r="B3" s="63" t="s">
        <v>162</v>
      </c>
    </row>
    <row r="4">
      <c r="A4" s="62">
        <f t="shared" si="1"/>
        <v>3</v>
      </c>
      <c r="B4" s="63" t="s">
        <v>162</v>
      </c>
    </row>
    <row r="5">
      <c r="A5" s="62">
        <f t="shared" si="1"/>
        <v>4</v>
      </c>
      <c r="B5" s="44" t="s">
        <v>163</v>
      </c>
    </row>
    <row r="6">
      <c r="A6" s="62">
        <f t="shared" si="1"/>
        <v>5</v>
      </c>
      <c r="B6" s="63" t="s">
        <v>164</v>
      </c>
    </row>
    <row r="7">
      <c r="A7" s="62">
        <f t="shared" si="1"/>
        <v>6</v>
      </c>
      <c r="B7" s="63" t="s">
        <v>165</v>
      </c>
    </row>
    <row r="8">
      <c r="A8" s="62">
        <f t="shared" si="1"/>
        <v>7</v>
      </c>
      <c r="B8" s="63" t="s">
        <v>166</v>
      </c>
    </row>
    <row r="9">
      <c r="A9" s="62">
        <f t="shared" si="1"/>
        <v>8</v>
      </c>
      <c r="B9" s="63" t="s">
        <v>167</v>
      </c>
    </row>
    <row r="10">
      <c r="A10" s="62">
        <f t="shared" si="1"/>
        <v>9</v>
      </c>
      <c r="B10" s="63" t="s">
        <v>168</v>
      </c>
    </row>
    <row r="11">
      <c r="A11" s="62">
        <f t="shared" si="1"/>
        <v>10</v>
      </c>
      <c r="B11" s="63" t="s">
        <v>169</v>
      </c>
    </row>
    <row r="12">
      <c r="A12" s="62">
        <f t="shared" si="1"/>
        <v>11</v>
      </c>
      <c r="B12" s="63" t="s">
        <v>170</v>
      </c>
    </row>
    <row r="13">
      <c r="A13" s="62">
        <f t="shared" si="1"/>
        <v>12</v>
      </c>
      <c r="B13" s="63" t="s">
        <v>171</v>
      </c>
    </row>
    <row r="14">
      <c r="A14" s="62">
        <f t="shared" si="1"/>
        <v>13</v>
      </c>
      <c r="B14" s="63" t="s">
        <v>172</v>
      </c>
    </row>
    <row r="15">
      <c r="A15" s="62">
        <f t="shared" si="1"/>
        <v>14</v>
      </c>
      <c r="B15" s="63" t="s">
        <v>173</v>
      </c>
    </row>
    <row r="16">
      <c r="A16" s="62">
        <f t="shared" si="1"/>
        <v>15</v>
      </c>
      <c r="B16" s="63" t="s">
        <v>174</v>
      </c>
    </row>
    <row r="17">
      <c r="A17" s="62"/>
      <c r="B17" s="64"/>
    </row>
    <row r="18">
      <c r="A18" s="62"/>
      <c r="B18" s="64"/>
    </row>
    <row r="19">
      <c r="A19" s="65"/>
      <c r="B19" s="64"/>
    </row>
    <row r="20">
      <c r="A20" s="65"/>
      <c r="B20" s="6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175</v>
      </c>
    </row>
    <row r="2">
      <c r="A2" s="62">
        <v>1.0</v>
      </c>
      <c r="B2" s="63">
        <f>'Mid-Project Release plan'!F9</f>
        <v>0</v>
      </c>
    </row>
    <row r="3">
      <c r="A3" s="62">
        <f t="shared" ref="A3:A15" si="1">A2+1</f>
        <v>2</v>
      </c>
      <c r="B3" s="63">
        <f>'Mid-Project Release plan'!F10</f>
        <v>9</v>
      </c>
    </row>
    <row r="4">
      <c r="A4" s="62">
        <f t="shared" si="1"/>
        <v>3</v>
      </c>
      <c r="B4" s="63">
        <f>'Mid-Project Release plan'!F11</f>
        <v>10</v>
      </c>
    </row>
    <row r="5">
      <c r="A5" s="62">
        <f t="shared" si="1"/>
        <v>4</v>
      </c>
      <c r="B5" s="63">
        <f>'Mid-Project Release plan'!F12</f>
        <v>10</v>
      </c>
    </row>
    <row r="6">
      <c r="A6" s="62">
        <f t="shared" si="1"/>
        <v>5</v>
      </c>
      <c r="B6" s="63">
        <f>'Mid-Project Release plan'!F13</f>
        <v>13</v>
      </c>
    </row>
    <row r="7">
      <c r="A7" s="62">
        <f t="shared" si="1"/>
        <v>6</v>
      </c>
      <c r="B7" s="63">
        <f>'Mid-Project Release plan'!F14</f>
        <v>17</v>
      </c>
    </row>
    <row r="8">
      <c r="A8" s="62">
        <f t="shared" si="1"/>
        <v>7</v>
      </c>
      <c r="B8" s="63">
        <f>'Final Project Release plan'!F9</f>
        <v>15</v>
      </c>
    </row>
    <row r="9">
      <c r="A9" s="62">
        <f t="shared" si="1"/>
        <v>8</v>
      </c>
      <c r="B9" s="63">
        <f>'Final Project Release plan'!F10</f>
        <v>13</v>
      </c>
    </row>
    <row r="10">
      <c r="A10" s="62">
        <f t="shared" si="1"/>
        <v>9</v>
      </c>
      <c r="B10" s="63">
        <f>'Final Project Release plan'!F11</f>
        <v>8</v>
      </c>
    </row>
    <row r="11">
      <c r="A11" s="62">
        <f t="shared" si="1"/>
        <v>10</v>
      </c>
      <c r="B11" s="63">
        <f>'Final Project Release plan'!F12</f>
        <v>0</v>
      </c>
    </row>
    <row r="12">
      <c r="A12" s="62">
        <f t="shared" si="1"/>
        <v>11</v>
      </c>
      <c r="B12" s="63">
        <f>'Final Project Release plan'!F13</f>
        <v>0</v>
      </c>
    </row>
    <row r="13">
      <c r="A13" s="62">
        <f t="shared" si="1"/>
        <v>12</v>
      </c>
      <c r="B13" s="63">
        <f>'Final Project Release plan'!F14</f>
        <v>0</v>
      </c>
    </row>
    <row r="14">
      <c r="A14" s="62">
        <f t="shared" si="1"/>
        <v>13</v>
      </c>
      <c r="B14" s="63">
        <f>'Final Project Release plan'!F15</f>
        <v>0</v>
      </c>
    </row>
    <row r="15">
      <c r="A15" s="62">
        <f t="shared" si="1"/>
        <v>14</v>
      </c>
      <c r="B15" s="63">
        <f>'Final Project Release plan'!F16</f>
        <v>0</v>
      </c>
    </row>
    <row r="16">
      <c r="A16" s="62"/>
      <c r="B16" s="63"/>
    </row>
    <row r="17">
      <c r="A17" s="62"/>
      <c r="B17" s="64"/>
    </row>
    <row r="18">
      <c r="A18" s="62"/>
      <c r="B18" s="66" t="s">
        <v>176</v>
      </c>
    </row>
    <row r="19">
      <c r="A19" s="65"/>
      <c r="B19" s="64"/>
    </row>
    <row r="20">
      <c r="A20" s="65"/>
      <c r="B20" s="6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c r="B1" s="61"/>
    </row>
    <row r="2">
      <c r="A2" s="62"/>
      <c r="B2" s="63"/>
    </row>
    <row r="3">
      <c r="A3" s="62"/>
      <c r="B3" s="63"/>
    </row>
    <row r="4">
      <c r="A4" s="62"/>
      <c r="B4" s="63"/>
    </row>
    <row r="5">
      <c r="A5" s="62"/>
    </row>
    <row r="6">
      <c r="A6" s="62"/>
      <c r="B6" s="63"/>
    </row>
    <row r="7">
      <c r="A7" s="62"/>
      <c r="B7" s="64"/>
    </row>
    <row r="8">
      <c r="A8" s="62"/>
      <c r="B8" s="64"/>
    </row>
    <row r="9">
      <c r="A9" s="62"/>
      <c r="B9" s="64"/>
    </row>
    <row r="10">
      <c r="A10" s="62"/>
      <c r="B10" s="64"/>
    </row>
    <row r="11">
      <c r="A11" s="62"/>
      <c r="B11" s="64"/>
    </row>
    <row r="12">
      <c r="A12" s="62"/>
      <c r="B12" s="64"/>
    </row>
    <row r="13">
      <c r="A13" s="62"/>
      <c r="B13" s="64"/>
    </row>
    <row r="14">
      <c r="A14" s="62"/>
      <c r="B14" s="64"/>
    </row>
    <row r="15">
      <c r="A15" s="62"/>
      <c r="B15" s="64"/>
    </row>
    <row r="16">
      <c r="A16" s="62"/>
      <c r="B16" s="64"/>
    </row>
    <row r="17">
      <c r="A17" s="62"/>
      <c r="B17" s="64"/>
    </row>
    <row r="18">
      <c r="A18" s="62"/>
      <c r="B18" s="66"/>
    </row>
    <row r="19">
      <c r="A19" s="65"/>
      <c r="B19" s="64"/>
    </row>
    <row r="20">
      <c r="A20" s="65"/>
      <c r="B20" s="6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sum(D8:D15)</f>
        <v>65</v>
      </c>
      <c r="E5" s="80">
        <f>D5</f>
        <v>65</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85">
        <v>1.0</v>
      </c>
      <c r="B9" s="78" t="str">
        <f>'Sprint Goals'!B2</f>
        <v>None</v>
      </c>
      <c r="D9" s="80">
        <f>SUM(D19)</f>
        <v>0</v>
      </c>
      <c r="E9" s="80">
        <f>$D$5</f>
        <v>65</v>
      </c>
      <c r="F9" s="80">
        <f>sum(F18)</f>
        <v>0</v>
      </c>
      <c r="G9" s="80">
        <f>$D$5</f>
        <v>65</v>
      </c>
    </row>
    <row r="10">
      <c r="A10" s="71">
        <f t="shared" ref="A10:A11" si="1">A9+1</f>
        <v>2</v>
      </c>
      <c r="B10" s="78" t="str">
        <f>'Sprint Goals'!B3</f>
        <v>None</v>
      </c>
      <c r="D10" s="86">
        <f>SUM(D21:D26)</f>
        <v>11</v>
      </c>
      <c r="E10" s="86">
        <f t="shared" ref="E10:E14" si="2">E9-D10</f>
        <v>54</v>
      </c>
      <c r="F10" s="86">
        <f>SUM(F20:F26)</f>
        <v>9</v>
      </c>
      <c r="G10" s="86">
        <f t="shared" ref="G10:G14" si="3">G9-F10</f>
        <v>56</v>
      </c>
    </row>
    <row r="11">
      <c r="A11" s="85">
        <f t="shared" si="1"/>
        <v>3</v>
      </c>
      <c r="B11" s="78" t="str">
        <f>'Sprint Goals'!B4</f>
        <v>None</v>
      </c>
      <c r="D11" s="80">
        <f>SUM(D29:D33)</f>
        <v>9</v>
      </c>
      <c r="E11" s="80">
        <f t="shared" si="2"/>
        <v>45</v>
      </c>
      <c r="F11" s="80">
        <f>sum(F28:F33)</f>
        <v>10</v>
      </c>
      <c r="G11" s="80">
        <f t="shared" si="3"/>
        <v>46</v>
      </c>
    </row>
    <row r="12">
      <c r="A12" s="87">
        <v>4.0</v>
      </c>
      <c r="B12" s="88" t="str">
        <f>'Sprint Goals'!B5</f>
        <v>Optional</v>
      </c>
      <c r="C12" s="89"/>
      <c r="D12" s="86">
        <f>SUM(D35:D40)</f>
        <v>14</v>
      </c>
      <c r="E12" s="86">
        <f t="shared" si="2"/>
        <v>31</v>
      </c>
      <c r="F12" s="86">
        <f>SUM(F22:F29)</f>
        <v>10</v>
      </c>
      <c r="G12" s="86">
        <f t="shared" si="3"/>
        <v>36</v>
      </c>
    </row>
    <row r="13">
      <c r="A13" s="85">
        <f>A12+1</f>
        <v>5</v>
      </c>
      <c r="B13" s="78" t="str">
        <f>'Sprint Goals'!B6</f>
        <v>Establish a working foundation for the forecasting pipeline</v>
      </c>
      <c r="D13" s="80">
        <f>SUM(D43:D48)</f>
        <v>15</v>
      </c>
      <c r="E13" s="80">
        <f t="shared" si="2"/>
        <v>16</v>
      </c>
      <c r="F13" s="80">
        <f>SUM(F43:F48)</f>
        <v>13</v>
      </c>
      <c r="G13" s="80">
        <f t="shared" si="3"/>
        <v>23</v>
      </c>
    </row>
    <row r="14">
      <c r="A14" s="87">
        <v>6.0</v>
      </c>
      <c r="B14" s="88" t="str">
        <f>'Sprint Goals'!B7</f>
        <v>Integrate the pipeline into the existing software</v>
      </c>
      <c r="C14" s="89"/>
      <c r="D14" s="86">
        <f>SUM(D51:D57)</f>
        <v>16</v>
      </c>
      <c r="E14" s="86">
        <f t="shared" si="2"/>
        <v>0</v>
      </c>
      <c r="F14" s="86">
        <f>SUM(F51:F58)</f>
        <v>17</v>
      </c>
      <c r="G14" s="86">
        <f t="shared" si="3"/>
        <v>6</v>
      </c>
    </row>
    <row r="15">
      <c r="A15" s="85"/>
      <c r="B15" s="90"/>
      <c r="C15" s="79"/>
      <c r="D15" s="79"/>
      <c r="E15" s="79"/>
      <c r="F15" s="79"/>
      <c r="G15" s="79"/>
    </row>
    <row r="16">
      <c r="A16" s="91" t="s">
        <v>189</v>
      </c>
      <c r="B16" s="92"/>
      <c r="C16" s="93"/>
      <c r="D16" s="93"/>
      <c r="E16" s="93"/>
      <c r="F16" s="93"/>
      <c r="G16" s="93"/>
    </row>
    <row r="17">
      <c r="A17" s="85"/>
      <c r="B17" s="77"/>
      <c r="C17" s="79"/>
      <c r="D17" s="79"/>
      <c r="E17" s="79"/>
      <c r="F17" s="79"/>
      <c r="G17" s="79"/>
    </row>
    <row r="18">
      <c r="A18" s="94">
        <f t="shared" ref="A18:B18" si="4">A9</f>
        <v>1</v>
      </c>
      <c r="B18" s="95" t="str">
        <f t="shared" si="4"/>
        <v>None</v>
      </c>
      <c r="C18" s="73"/>
      <c r="D18" s="73"/>
      <c r="E18" s="73"/>
      <c r="F18" s="73"/>
      <c r="G18" s="73"/>
    </row>
    <row r="19">
      <c r="A19" s="85"/>
      <c r="B19" s="90"/>
      <c r="C19" s="79"/>
      <c r="D19" s="80"/>
      <c r="E19" s="79"/>
      <c r="F19" s="80"/>
      <c r="G19" s="79"/>
    </row>
    <row r="20">
      <c r="A20" s="94">
        <f t="shared" ref="A20:B20" si="5">A10</f>
        <v>2</v>
      </c>
      <c r="B20" s="95" t="str">
        <f t="shared" si="5"/>
        <v>None</v>
      </c>
      <c r="C20" s="73"/>
      <c r="D20" s="73"/>
      <c r="E20" s="73"/>
      <c r="F20" s="73"/>
      <c r="G20" s="73"/>
    </row>
    <row r="21">
      <c r="A21" s="85"/>
      <c r="B21" s="90"/>
      <c r="C21" s="96" t="s">
        <v>190</v>
      </c>
      <c r="D21" s="96">
        <v>1.0</v>
      </c>
      <c r="E21" s="96"/>
      <c r="F21" s="96">
        <v>1.0</v>
      </c>
      <c r="G21" s="79"/>
    </row>
    <row r="22">
      <c r="A22" s="97"/>
      <c r="B22" s="98"/>
      <c r="C22" s="88" t="s">
        <v>191</v>
      </c>
      <c r="D22" s="99">
        <v>2.0</v>
      </c>
      <c r="E22" s="98"/>
      <c r="F22" s="99">
        <v>2.0</v>
      </c>
      <c r="G22" s="98"/>
    </row>
    <row r="23">
      <c r="A23" s="85"/>
      <c r="B23" s="90"/>
      <c r="C23" s="44" t="s">
        <v>192</v>
      </c>
      <c r="D23" s="44">
        <v>2.0</v>
      </c>
      <c r="F23" s="44">
        <v>2.0</v>
      </c>
      <c r="G23" s="79"/>
    </row>
    <row r="24">
      <c r="A24" s="97"/>
      <c r="B24" s="98"/>
      <c r="C24" s="88" t="s">
        <v>193</v>
      </c>
      <c r="D24" s="99">
        <v>2.0</v>
      </c>
      <c r="E24" s="98"/>
      <c r="F24" s="99">
        <v>2.0</v>
      </c>
      <c r="G24" s="98"/>
    </row>
    <row r="25">
      <c r="A25" s="85"/>
      <c r="B25" s="90"/>
      <c r="C25" s="96" t="s">
        <v>194</v>
      </c>
      <c r="D25" s="100">
        <v>2.0</v>
      </c>
      <c r="E25" s="79"/>
      <c r="F25" s="100">
        <v>2.0</v>
      </c>
      <c r="G25" s="79"/>
    </row>
    <row r="26">
      <c r="A26" s="97"/>
      <c r="B26" s="98"/>
      <c r="C26" s="89" t="s">
        <v>195</v>
      </c>
      <c r="D26" s="99">
        <v>2.0</v>
      </c>
      <c r="E26" s="73"/>
      <c r="F26" s="99" t="s">
        <v>196</v>
      </c>
      <c r="G26" s="73"/>
    </row>
    <row r="27">
      <c r="A27" s="85"/>
      <c r="B27" s="90"/>
      <c r="C27" s="79"/>
      <c r="D27" s="80"/>
      <c r="E27" s="79"/>
      <c r="F27" s="79"/>
      <c r="G27" s="79"/>
    </row>
    <row r="28">
      <c r="A28" s="94">
        <f t="shared" ref="A28:B28" si="6">A11</f>
        <v>3</v>
      </c>
      <c r="B28" s="95" t="str">
        <f t="shared" si="6"/>
        <v>None</v>
      </c>
      <c r="C28" s="73"/>
      <c r="D28" s="73"/>
      <c r="E28" s="73"/>
      <c r="F28" s="73"/>
      <c r="G28" s="73"/>
    </row>
    <row r="29">
      <c r="A29" s="85"/>
      <c r="B29" s="90"/>
      <c r="C29" s="96" t="s">
        <v>197</v>
      </c>
      <c r="D29" s="96">
        <v>2.0</v>
      </c>
      <c r="E29" s="79"/>
      <c r="F29" s="96">
        <v>2.0</v>
      </c>
      <c r="G29" s="79"/>
    </row>
    <row r="30">
      <c r="A30" s="97"/>
      <c r="B30" s="98"/>
      <c r="C30" s="88" t="s">
        <v>198</v>
      </c>
      <c r="D30" s="99">
        <v>1.0</v>
      </c>
      <c r="E30" s="98"/>
      <c r="F30" s="88">
        <v>1.0</v>
      </c>
      <c r="G30" s="98"/>
    </row>
    <row r="31">
      <c r="A31" s="85"/>
      <c r="B31" s="90"/>
      <c r="C31" s="96" t="s">
        <v>199</v>
      </c>
      <c r="D31" s="100">
        <v>1.0</v>
      </c>
      <c r="E31" s="79"/>
      <c r="F31" s="96">
        <v>2.0</v>
      </c>
      <c r="G31" s="79"/>
    </row>
    <row r="32">
      <c r="A32" s="97"/>
      <c r="B32" s="98"/>
      <c r="C32" s="88" t="s">
        <v>200</v>
      </c>
      <c r="D32" s="99">
        <v>3.0</v>
      </c>
      <c r="E32" s="98"/>
      <c r="F32" s="88">
        <v>3.0</v>
      </c>
      <c r="G32" s="98"/>
    </row>
    <row r="33">
      <c r="A33" s="85"/>
      <c r="B33" s="90"/>
      <c r="C33" s="96" t="s">
        <v>195</v>
      </c>
      <c r="D33" s="100">
        <v>2.0</v>
      </c>
      <c r="E33" s="79"/>
      <c r="F33" s="100">
        <v>2.0</v>
      </c>
      <c r="G33" s="79"/>
    </row>
    <row r="34">
      <c r="A34" s="97">
        <f t="shared" ref="A34:B34" si="7">A12</f>
        <v>4</v>
      </c>
      <c r="B34" s="95" t="str">
        <f t="shared" si="7"/>
        <v>Optional</v>
      </c>
      <c r="C34" s="98"/>
      <c r="D34" s="86"/>
      <c r="E34" s="98"/>
      <c r="F34" s="98"/>
      <c r="G34" s="98"/>
    </row>
    <row r="35">
      <c r="A35" s="85"/>
      <c r="B35" s="90"/>
      <c r="C35" s="96" t="s">
        <v>201</v>
      </c>
      <c r="D35" s="100">
        <v>2.0</v>
      </c>
      <c r="E35" s="79"/>
      <c r="F35" s="101" t="s">
        <v>196</v>
      </c>
      <c r="G35" s="79"/>
    </row>
    <row r="36">
      <c r="A36" s="97"/>
      <c r="B36" s="98"/>
      <c r="C36" s="88" t="s">
        <v>202</v>
      </c>
      <c r="D36" s="99">
        <v>2.0</v>
      </c>
      <c r="E36" s="98"/>
      <c r="F36" s="88">
        <v>3.0</v>
      </c>
      <c r="G36" s="98"/>
    </row>
    <row r="37">
      <c r="A37" s="85"/>
      <c r="B37" s="90"/>
      <c r="C37" s="96" t="s">
        <v>203</v>
      </c>
      <c r="D37" s="100">
        <v>3.0</v>
      </c>
      <c r="E37" s="79"/>
      <c r="F37" s="96">
        <v>3.0</v>
      </c>
      <c r="G37" s="79"/>
    </row>
    <row r="38">
      <c r="A38" s="97"/>
      <c r="B38" s="98"/>
      <c r="C38" s="88" t="s">
        <v>204</v>
      </c>
      <c r="D38" s="99">
        <v>2.0</v>
      </c>
      <c r="E38" s="98"/>
      <c r="F38" s="88">
        <v>2.0</v>
      </c>
      <c r="G38" s="98"/>
    </row>
    <row r="39">
      <c r="A39" s="85"/>
      <c r="B39" s="90"/>
      <c r="C39" s="96" t="s">
        <v>205</v>
      </c>
      <c r="D39" s="100">
        <v>2.0</v>
      </c>
      <c r="E39" s="79"/>
      <c r="F39" s="101" t="s">
        <v>196</v>
      </c>
      <c r="G39" s="79"/>
    </row>
    <row r="40">
      <c r="A40" s="97"/>
      <c r="B40" s="98"/>
      <c r="C40" s="88" t="s">
        <v>206</v>
      </c>
      <c r="D40" s="99">
        <v>3.0</v>
      </c>
      <c r="E40" s="98"/>
      <c r="F40" s="88">
        <v>2.0</v>
      </c>
      <c r="G40" s="98"/>
    </row>
    <row r="41">
      <c r="A41" s="85"/>
      <c r="B41" s="90"/>
      <c r="C41" s="79"/>
      <c r="D41" s="80"/>
      <c r="E41" s="79"/>
      <c r="F41" s="79"/>
      <c r="G41" s="79"/>
    </row>
    <row r="42">
      <c r="A42" s="97">
        <f t="shared" ref="A42:B42" si="8">A13</f>
        <v>5</v>
      </c>
      <c r="B42" s="95" t="str">
        <f t="shared" si="8"/>
        <v>Establish a working foundation for the forecasting pipeline</v>
      </c>
      <c r="C42" s="98"/>
      <c r="D42" s="86"/>
      <c r="E42" s="98"/>
      <c r="F42" s="98"/>
      <c r="G42" s="98"/>
    </row>
    <row r="43">
      <c r="A43" s="85"/>
      <c r="B43" s="90"/>
      <c r="C43" s="96" t="s">
        <v>207</v>
      </c>
      <c r="D43" s="100">
        <v>2.0</v>
      </c>
      <c r="E43" s="79"/>
      <c r="F43" s="96">
        <v>2.0</v>
      </c>
      <c r="G43" s="79"/>
    </row>
    <row r="44">
      <c r="A44" s="97"/>
      <c r="B44" s="98"/>
      <c r="C44" s="88" t="s">
        <v>208</v>
      </c>
      <c r="D44" s="99">
        <v>2.0</v>
      </c>
      <c r="E44" s="98"/>
      <c r="F44" s="88">
        <v>2.0</v>
      </c>
      <c r="G44" s="98"/>
    </row>
    <row r="45">
      <c r="A45" s="85"/>
      <c r="B45" s="90"/>
      <c r="C45" s="96" t="s">
        <v>209</v>
      </c>
      <c r="D45" s="100">
        <v>3.0</v>
      </c>
      <c r="E45" s="79"/>
      <c r="F45" s="96">
        <v>3.0</v>
      </c>
      <c r="G45" s="79"/>
    </row>
    <row r="46">
      <c r="A46" s="97"/>
      <c r="B46" s="98"/>
      <c r="C46" s="88" t="s">
        <v>210</v>
      </c>
      <c r="D46" s="99">
        <v>2.0</v>
      </c>
      <c r="E46" s="98"/>
      <c r="F46" s="88">
        <v>1.0</v>
      </c>
      <c r="G46" s="98"/>
    </row>
    <row r="47">
      <c r="A47" s="85"/>
      <c r="B47" s="90"/>
      <c r="C47" s="96" t="s">
        <v>211</v>
      </c>
      <c r="D47" s="100">
        <v>3.0</v>
      </c>
      <c r="E47" s="79"/>
      <c r="F47" s="96">
        <v>3.0</v>
      </c>
      <c r="G47" s="79"/>
    </row>
    <row r="48">
      <c r="A48" s="97"/>
      <c r="B48" s="98"/>
      <c r="C48" s="88" t="s">
        <v>212</v>
      </c>
      <c r="D48" s="99">
        <v>3.0</v>
      </c>
      <c r="E48" s="98"/>
      <c r="F48" s="88">
        <v>2.0</v>
      </c>
      <c r="G48" s="98"/>
    </row>
    <row r="49">
      <c r="A49" s="85"/>
      <c r="B49" s="90"/>
      <c r="C49" s="79"/>
      <c r="D49" s="80"/>
      <c r="E49" s="79"/>
      <c r="F49" s="79"/>
      <c r="G49" s="79"/>
    </row>
    <row r="50">
      <c r="A50" s="87">
        <v>6.0</v>
      </c>
      <c r="B50" s="95" t="str">
        <f>B14</f>
        <v>Integrate the pipeline into the existing software</v>
      </c>
      <c r="C50" s="98"/>
      <c r="D50" s="86"/>
      <c r="E50" s="98"/>
      <c r="F50" s="98"/>
      <c r="G50" s="98"/>
    </row>
    <row r="51">
      <c r="A51" s="85"/>
      <c r="B51" s="90"/>
      <c r="C51" s="96" t="s">
        <v>213</v>
      </c>
      <c r="D51" s="100">
        <v>3.0</v>
      </c>
      <c r="E51" s="79"/>
      <c r="F51" s="96">
        <v>3.0</v>
      </c>
      <c r="G51" s="79"/>
    </row>
    <row r="52">
      <c r="A52" s="97"/>
      <c r="B52" s="98"/>
      <c r="C52" s="88" t="s">
        <v>214</v>
      </c>
      <c r="D52" s="99">
        <v>2.0</v>
      </c>
      <c r="E52" s="98"/>
      <c r="F52" s="88">
        <v>2.0</v>
      </c>
      <c r="G52" s="98"/>
    </row>
    <row r="53">
      <c r="A53" s="85"/>
      <c r="B53" s="90"/>
      <c r="C53" s="96" t="s">
        <v>215</v>
      </c>
      <c r="D53" s="100">
        <v>2.0</v>
      </c>
      <c r="E53" s="79"/>
      <c r="F53" s="96">
        <v>2.0</v>
      </c>
      <c r="G53" s="79"/>
    </row>
    <row r="54">
      <c r="A54" s="97"/>
      <c r="B54" s="98"/>
      <c r="C54" s="88" t="s">
        <v>216</v>
      </c>
      <c r="D54" s="99">
        <v>2.0</v>
      </c>
      <c r="E54" s="98"/>
      <c r="F54" s="88">
        <v>2.0</v>
      </c>
      <c r="G54" s="98"/>
    </row>
    <row r="55">
      <c r="A55" s="85"/>
      <c r="B55" s="90"/>
      <c r="C55" s="96" t="s">
        <v>217</v>
      </c>
      <c r="D55" s="100">
        <v>3.0</v>
      </c>
      <c r="E55" s="79"/>
      <c r="F55" s="96">
        <v>5.0</v>
      </c>
      <c r="G55" s="79"/>
    </row>
    <row r="56">
      <c r="A56" s="97"/>
      <c r="B56" s="98"/>
      <c r="C56" s="88" t="s">
        <v>218</v>
      </c>
      <c r="D56" s="99">
        <v>1.0</v>
      </c>
      <c r="E56" s="98"/>
      <c r="F56" s="99" t="s">
        <v>196</v>
      </c>
      <c r="G56" s="98"/>
    </row>
    <row r="57">
      <c r="A57" s="85"/>
      <c r="B57" s="90"/>
      <c r="C57" s="96" t="s">
        <v>219</v>
      </c>
      <c r="D57" s="100">
        <v>3.0</v>
      </c>
      <c r="E57" s="79"/>
      <c r="F57" s="96">
        <v>3.0</v>
      </c>
      <c r="G57" s="79"/>
    </row>
    <row r="58">
      <c r="A58" s="97"/>
      <c r="B58" s="98"/>
      <c r="C58" s="88"/>
      <c r="D58" s="99"/>
      <c r="E58" s="98"/>
      <c r="F58" s="98"/>
      <c r="G58" s="98"/>
    </row>
    <row r="59">
      <c r="A59" s="85"/>
      <c r="B59" s="90"/>
      <c r="C59" s="79"/>
      <c r="D59" s="80"/>
      <c r="E59" s="79"/>
      <c r="F59" s="79"/>
      <c r="G59" s="79"/>
    </row>
    <row r="60">
      <c r="A60" s="97"/>
      <c r="B60" s="98"/>
      <c r="C60" s="98"/>
      <c r="D60" s="86"/>
      <c r="E60" s="98"/>
      <c r="F60" s="98"/>
      <c r="G60" s="98"/>
    </row>
    <row r="61">
      <c r="A61" s="85"/>
      <c r="B61" s="90"/>
      <c r="C61" s="79"/>
      <c r="D61" s="80"/>
      <c r="E61" s="79"/>
      <c r="F61" s="79"/>
      <c r="G61" s="79"/>
    </row>
    <row r="62">
      <c r="A62" s="97"/>
      <c r="B62" s="98"/>
      <c r="C62" s="98"/>
      <c r="D62" s="86"/>
      <c r="E62" s="98"/>
      <c r="F62" s="98"/>
      <c r="G62" s="98"/>
    </row>
    <row r="63">
      <c r="A63" s="85"/>
      <c r="B63" s="90"/>
      <c r="C63" s="79"/>
      <c r="D63" s="80"/>
      <c r="E63" s="79"/>
      <c r="F63" s="79"/>
      <c r="G63" s="79"/>
    </row>
    <row r="64">
      <c r="A64" s="97"/>
      <c r="B64" s="98"/>
      <c r="C64" s="98"/>
      <c r="D64" s="86"/>
      <c r="E64" s="98"/>
      <c r="F64" s="98"/>
      <c r="G64" s="98"/>
    </row>
    <row r="65">
      <c r="A65" s="85"/>
      <c r="B65" s="90"/>
      <c r="C65" s="79"/>
      <c r="D65" s="80"/>
      <c r="E65" s="79"/>
      <c r="F65" s="79"/>
      <c r="G65" s="79"/>
    </row>
    <row r="66">
      <c r="A66" s="97"/>
      <c r="B66" s="98"/>
      <c r="C66" s="98"/>
      <c r="D66" s="86"/>
      <c r="E66" s="98"/>
      <c r="F66" s="98"/>
      <c r="G66" s="98"/>
    </row>
    <row r="67">
      <c r="A67" s="85"/>
      <c r="B67" s="90"/>
      <c r="C67" s="79"/>
      <c r="D67" s="80"/>
      <c r="E67" s="79"/>
      <c r="F67" s="79"/>
      <c r="G67" s="79"/>
    </row>
    <row r="68">
      <c r="A68" s="97"/>
      <c r="B68" s="98"/>
      <c r="C68" s="98"/>
      <c r="D68" s="86"/>
      <c r="E68" s="98"/>
      <c r="F68" s="98"/>
      <c r="G68" s="98"/>
    </row>
    <row r="69">
      <c r="A69" s="85"/>
      <c r="B69" s="90"/>
      <c r="C69" s="79"/>
      <c r="D69" s="80"/>
      <c r="E69" s="79"/>
      <c r="F69" s="79"/>
      <c r="G69" s="79"/>
    </row>
    <row r="70">
      <c r="A70" s="97"/>
      <c r="B70" s="98"/>
      <c r="C70" s="102" t="s">
        <v>220</v>
      </c>
      <c r="D70" s="73"/>
      <c r="E70" s="73"/>
      <c r="F70" s="73"/>
      <c r="G70" s="73"/>
    </row>
    <row r="71">
      <c r="A71" s="97"/>
      <c r="B71" s="98"/>
      <c r="C71" s="73"/>
      <c r="D71" s="73"/>
      <c r="E71" s="73"/>
      <c r="F71" s="73"/>
      <c r="G71" s="73"/>
    </row>
    <row r="72">
      <c r="A72" s="97"/>
      <c r="B72" s="98"/>
      <c r="C72" s="73"/>
      <c r="D72" s="73"/>
      <c r="E72" s="73"/>
      <c r="F72" s="73"/>
      <c r="G72" s="73"/>
    </row>
    <row r="73">
      <c r="A73" s="97"/>
      <c r="B73" s="98"/>
      <c r="C73" s="73"/>
      <c r="D73" s="73"/>
      <c r="E73" s="73"/>
      <c r="F73" s="73"/>
      <c r="G73" s="73"/>
    </row>
    <row r="74">
      <c r="A74" s="97"/>
      <c r="B74" s="98"/>
      <c r="C74" s="73"/>
      <c r="D74" s="73"/>
      <c r="E74" s="73"/>
      <c r="F74" s="73"/>
      <c r="G74" s="73"/>
    </row>
    <row r="75">
      <c r="A75" s="97"/>
      <c r="B75" s="98"/>
      <c r="C75" s="73"/>
      <c r="D75" s="73"/>
      <c r="E75" s="73"/>
      <c r="F75" s="73"/>
      <c r="G75" s="73"/>
    </row>
    <row r="76">
      <c r="A76" s="97"/>
      <c r="B76" s="98"/>
      <c r="C76" s="73"/>
      <c r="D76" s="73"/>
      <c r="E76" s="73"/>
      <c r="F76" s="73"/>
      <c r="G76" s="73"/>
    </row>
    <row r="77">
      <c r="A77" s="97"/>
      <c r="B77" s="98"/>
      <c r="C77" s="73"/>
      <c r="D77" s="73"/>
      <c r="E77" s="73"/>
      <c r="F77" s="73"/>
      <c r="G77" s="73"/>
    </row>
    <row r="78">
      <c r="A78" s="97"/>
      <c r="B78" s="98"/>
      <c r="C78" s="73"/>
      <c r="D78" s="73"/>
      <c r="E78" s="73"/>
      <c r="F78" s="73"/>
      <c r="G78" s="73"/>
    </row>
    <row r="79">
      <c r="A79" s="97"/>
      <c r="B79" s="98"/>
      <c r="C79" s="73"/>
      <c r="D79" s="73"/>
      <c r="E79" s="73"/>
      <c r="F79" s="73"/>
      <c r="G79" s="73"/>
    </row>
    <row r="80">
      <c r="A80" s="97"/>
      <c r="B80" s="98"/>
      <c r="C80" s="73"/>
      <c r="D80" s="73"/>
      <c r="E80" s="73"/>
      <c r="F80" s="73"/>
      <c r="G80" s="73"/>
    </row>
    <row r="81">
      <c r="A81" s="97"/>
      <c r="B81" s="98"/>
      <c r="C81" s="73"/>
      <c r="D81" s="73"/>
      <c r="E81" s="73"/>
      <c r="F81" s="73"/>
      <c r="G81" s="73"/>
    </row>
    <row r="82">
      <c r="A82" s="97"/>
      <c r="B82" s="98"/>
      <c r="C82" s="73"/>
      <c r="D82" s="73"/>
      <c r="E82" s="73"/>
      <c r="F82" s="73"/>
      <c r="G82" s="73"/>
    </row>
    <row r="83">
      <c r="A83" s="97"/>
      <c r="B83" s="98"/>
      <c r="C83" s="73"/>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SUM(D9:D16)</f>
        <v>115</v>
      </c>
      <c r="E5" s="80">
        <f>D5</f>
        <v>115</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103">
        <v>7.0</v>
      </c>
      <c r="B9" s="104" t="s">
        <v>166</v>
      </c>
      <c r="D9" s="80">
        <f>SUM(D21:D27)</f>
        <v>17</v>
      </c>
      <c r="E9" s="80">
        <f>$D$5</f>
        <v>115</v>
      </c>
      <c r="F9" s="80">
        <f>SUM(F21:F27)</f>
        <v>15</v>
      </c>
      <c r="G9" s="80">
        <f>$D$5-F9</f>
        <v>100</v>
      </c>
    </row>
    <row r="10">
      <c r="A10" s="71">
        <f t="shared" ref="A10:A16" si="1">A9+1</f>
        <v>8</v>
      </c>
      <c r="B10" s="104" t="s">
        <v>167</v>
      </c>
      <c r="D10" s="86">
        <f>SUM(D28:D34)</f>
        <v>13</v>
      </c>
      <c r="E10" s="86">
        <f t="shared" ref="E10:E16" si="2">E9-D9</f>
        <v>98</v>
      </c>
      <c r="F10" s="86">
        <f>SUM(F28:F34)</f>
        <v>13</v>
      </c>
      <c r="G10" s="86">
        <f t="shared" ref="G10:G16" si="3">G9-F10</f>
        <v>87</v>
      </c>
    </row>
    <row r="11">
      <c r="A11" s="85">
        <f t="shared" si="1"/>
        <v>9</v>
      </c>
      <c r="B11" s="105" t="s">
        <v>221</v>
      </c>
      <c r="C11" s="106"/>
      <c r="D11" s="80">
        <f>SUM(D35:D41)</f>
        <v>15</v>
      </c>
      <c r="E11" s="80">
        <f t="shared" si="2"/>
        <v>85</v>
      </c>
      <c r="F11" s="80">
        <f>SUM(F35:F41)</f>
        <v>8</v>
      </c>
      <c r="G11" s="80">
        <f t="shared" si="3"/>
        <v>79</v>
      </c>
    </row>
    <row r="12">
      <c r="A12" s="97">
        <f t="shared" si="1"/>
        <v>10</v>
      </c>
      <c r="B12" s="88" t="s">
        <v>222</v>
      </c>
      <c r="C12" s="89"/>
      <c r="D12" s="86">
        <f>SUM(D42:D49)</f>
        <v>18</v>
      </c>
      <c r="E12" s="86">
        <f t="shared" si="2"/>
        <v>70</v>
      </c>
      <c r="F12" s="86">
        <f>SUM(F42:F49)</f>
        <v>0</v>
      </c>
      <c r="G12" s="86">
        <f t="shared" si="3"/>
        <v>79</v>
      </c>
    </row>
    <row r="13">
      <c r="A13" s="85">
        <f t="shared" si="1"/>
        <v>11</v>
      </c>
      <c r="B13" s="105" t="s">
        <v>223</v>
      </c>
      <c r="C13" s="106"/>
      <c r="D13" s="80">
        <f>SUM(D50:D56)</f>
        <v>15</v>
      </c>
      <c r="E13" s="80">
        <f t="shared" si="2"/>
        <v>52</v>
      </c>
      <c r="F13" s="80">
        <f>SUM(F50:F56)</f>
        <v>0</v>
      </c>
      <c r="G13" s="80">
        <f t="shared" si="3"/>
        <v>79</v>
      </c>
    </row>
    <row r="14">
      <c r="A14" s="97">
        <f t="shared" si="1"/>
        <v>12</v>
      </c>
      <c r="B14" s="88" t="s">
        <v>224</v>
      </c>
      <c r="C14" s="89"/>
      <c r="D14" s="86">
        <f>SUM(D57:D63)</f>
        <v>11</v>
      </c>
      <c r="E14" s="86">
        <f t="shared" si="2"/>
        <v>37</v>
      </c>
      <c r="F14" s="86">
        <f>SUM(F57:F63)</f>
        <v>0</v>
      </c>
      <c r="G14" s="86">
        <f t="shared" si="3"/>
        <v>79</v>
      </c>
    </row>
    <row r="15">
      <c r="A15" s="85">
        <f t="shared" si="1"/>
        <v>13</v>
      </c>
      <c r="B15" s="107" t="s">
        <v>225</v>
      </c>
      <c r="C15" s="96"/>
      <c r="D15" s="80">
        <f>SUM(D64:D70)</f>
        <v>12</v>
      </c>
      <c r="E15" s="80">
        <f t="shared" si="2"/>
        <v>26</v>
      </c>
      <c r="F15" s="80">
        <f>SUM(F64:F70)</f>
        <v>0</v>
      </c>
      <c r="G15" s="80">
        <f t="shared" si="3"/>
        <v>79</v>
      </c>
    </row>
    <row r="16">
      <c r="A16" s="97">
        <f t="shared" si="1"/>
        <v>14</v>
      </c>
      <c r="B16" s="88" t="s">
        <v>226</v>
      </c>
      <c r="C16" s="73"/>
      <c r="D16" s="86">
        <f>SUM(D71:D78)</f>
        <v>14</v>
      </c>
      <c r="E16" s="86">
        <f t="shared" si="2"/>
        <v>14</v>
      </c>
      <c r="F16" s="86">
        <f>SUM(F71:F78)</f>
        <v>0</v>
      </c>
      <c r="G16" s="86">
        <f t="shared" si="3"/>
        <v>79</v>
      </c>
    </row>
    <row r="17">
      <c r="A17" s="85"/>
      <c r="B17" s="90"/>
      <c r="C17" s="79"/>
      <c r="D17" s="79"/>
      <c r="E17" s="79"/>
      <c r="F17" s="79"/>
      <c r="G17" s="79"/>
    </row>
    <row r="18">
      <c r="A18" s="91" t="s">
        <v>189</v>
      </c>
      <c r="B18" s="92"/>
      <c r="C18" s="93"/>
      <c r="D18" s="93"/>
      <c r="E18" s="93"/>
      <c r="F18" s="93"/>
      <c r="G18" s="93"/>
    </row>
    <row r="19">
      <c r="A19" s="85"/>
      <c r="B19" s="77"/>
      <c r="C19" s="79"/>
      <c r="D19" s="79"/>
      <c r="E19" s="79"/>
      <c r="F19" s="79"/>
      <c r="G19" s="79"/>
    </row>
    <row r="20">
      <c r="A20" s="87">
        <v>7.0</v>
      </c>
      <c r="B20" s="108" t="str">
        <f>B9</f>
        <v>Advance the pipeline</v>
      </c>
      <c r="C20" s="73"/>
      <c r="D20" s="86"/>
      <c r="E20" s="73"/>
      <c r="F20" s="73"/>
      <c r="G20" s="73"/>
    </row>
    <row r="21">
      <c r="A21" s="85"/>
      <c r="B21" s="90"/>
      <c r="C21" s="107" t="s">
        <v>218</v>
      </c>
      <c r="D21" s="100">
        <v>1.0</v>
      </c>
      <c r="E21" s="107"/>
      <c r="F21" s="107">
        <v>1.0</v>
      </c>
      <c r="G21" s="90"/>
    </row>
    <row r="22">
      <c r="A22" s="97"/>
      <c r="B22" s="98"/>
      <c r="C22" s="89" t="s">
        <v>227</v>
      </c>
      <c r="D22" s="99">
        <v>3.0</v>
      </c>
      <c r="E22" s="89"/>
      <c r="F22" s="89" t="s">
        <v>228</v>
      </c>
      <c r="G22" s="73"/>
    </row>
    <row r="23">
      <c r="A23" s="85"/>
      <c r="B23" s="90"/>
      <c r="C23" s="96" t="s">
        <v>229</v>
      </c>
      <c r="D23" s="100">
        <v>3.0</v>
      </c>
      <c r="E23" s="107"/>
      <c r="F23" s="107">
        <v>3.0</v>
      </c>
      <c r="G23" s="90"/>
    </row>
    <row r="24">
      <c r="A24" s="97"/>
      <c r="B24" s="98"/>
      <c r="C24" s="88" t="s">
        <v>230</v>
      </c>
      <c r="D24" s="99">
        <v>3.0</v>
      </c>
      <c r="E24" s="89"/>
      <c r="F24" s="89">
        <v>3.0</v>
      </c>
      <c r="G24" s="73"/>
    </row>
    <row r="25">
      <c r="A25" s="85"/>
      <c r="B25" s="90"/>
      <c r="C25" s="96" t="s">
        <v>231</v>
      </c>
      <c r="D25" s="100">
        <v>5.0</v>
      </c>
      <c r="E25" s="107"/>
      <c r="F25" s="107">
        <v>5.0</v>
      </c>
      <c r="G25" s="90"/>
    </row>
    <row r="26">
      <c r="A26" s="97"/>
      <c r="B26" s="98"/>
      <c r="C26" s="88" t="s">
        <v>232</v>
      </c>
      <c r="D26" s="99">
        <v>2.0</v>
      </c>
      <c r="E26" s="89"/>
      <c r="F26" s="89">
        <v>3.0</v>
      </c>
      <c r="G26" s="73"/>
    </row>
    <row r="27">
      <c r="A27" s="85"/>
      <c r="B27" s="90"/>
      <c r="C27" s="96"/>
      <c r="D27" s="100"/>
      <c r="E27" s="79"/>
      <c r="F27" s="100"/>
      <c r="G27" s="79"/>
    </row>
    <row r="28">
      <c r="A28" s="87">
        <f>A10</f>
        <v>8</v>
      </c>
      <c r="B28" s="109" t="s">
        <v>167</v>
      </c>
      <c r="C28" s="89"/>
      <c r="D28" s="99"/>
      <c r="E28" s="73"/>
      <c r="F28" s="99"/>
      <c r="G28" s="73"/>
    </row>
    <row r="29">
      <c r="A29" s="85"/>
      <c r="B29" s="90"/>
      <c r="C29" s="96" t="s">
        <v>233</v>
      </c>
      <c r="D29" s="100">
        <v>3.0</v>
      </c>
      <c r="E29" s="79"/>
      <c r="F29" s="96">
        <v>3.0</v>
      </c>
      <c r="G29" s="79"/>
    </row>
    <row r="30">
      <c r="A30" s="94"/>
      <c r="B30" s="95"/>
      <c r="C30" s="89" t="s">
        <v>234</v>
      </c>
      <c r="D30" s="89">
        <v>2.0</v>
      </c>
      <c r="E30" s="73"/>
      <c r="F30" s="89">
        <v>2.0</v>
      </c>
      <c r="G30" s="73"/>
    </row>
    <row r="31">
      <c r="A31" s="85"/>
      <c r="B31" s="90"/>
      <c r="C31" s="96" t="s">
        <v>235</v>
      </c>
      <c r="D31" s="96">
        <v>2.0</v>
      </c>
      <c r="E31" s="79"/>
      <c r="F31" s="96">
        <v>2.0</v>
      </c>
      <c r="G31" s="79"/>
    </row>
    <row r="32">
      <c r="A32" s="97"/>
      <c r="B32" s="98"/>
      <c r="C32" s="88" t="s">
        <v>236</v>
      </c>
      <c r="D32" s="99">
        <v>3.0</v>
      </c>
      <c r="E32" s="98"/>
      <c r="F32" s="88">
        <v>3.0</v>
      </c>
      <c r="G32" s="98"/>
    </row>
    <row r="33">
      <c r="A33" s="85"/>
      <c r="B33" s="90"/>
      <c r="C33" s="96" t="s">
        <v>237</v>
      </c>
      <c r="D33" s="100">
        <v>3.0</v>
      </c>
      <c r="E33" s="79"/>
      <c r="F33" s="96">
        <v>3.0</v>
      </c>
      <c r="G33" s="79"/>
    </row>
    <row r="34">
      <c r="A34" s="97"/>
      <c r="B34" s="98"/>
      <c r="C34" s="88"/>
      <c r="D34" s="99"/>
      <c r="E34" s="98"/>
      <c r="F34" s="88"/>
      <c r="G34" s="98"/>
    </row>
    <row r="35">
      <c r="A35" s="103">
        <v>9.0</v>
      </c>
      <c r="B35" s="110" t="s">
        <v>221</v>
      </c>
      <c r="C35" s="96"/>
      <c r="D35" s="100"/>
      <c r="E35" s="79"/>
      <c r="F35" s="100"/>
      <c r="G35" s="79"/>
    </row>
    <row r="36">
      <c r="A36" s="97"/>
      <c r="B36" s="95"/>
      <c r="C36" s="89" t="s">
        <v>238</v>
      </c>
      <c r="D36" s="99">
        <v>3.0</v>
      </c>
      <c r="E36" s="98"/>
      <c r="F36" s="88">
        <v>3.0</v>
      </c>
      <c r="G36" s="98"/>
    </row>
    <row r="37">
      <c r="A37" s="85"/>
      <c r="B37" s="90"/>
      <c r="C37" s="96" t="s">
        <v>239</v>
      </c>
      <c r="D37" s="100">
        <v>3.0</v>
      </c>
      <c r="E37" s="79"/>
      <c r="F37" s="101">
        <v>3.0</v>
      </c>
      <c r="G37" s="79"/>
    </row>
    <row r="38">
      <c r="A38" s="97"/>
      <c r="B38" s="98"/>
      <c r="C38" s="88" t="s">
        <v>240</v>
      </c>
      <c r="D38" s="99">
        <v>3.0</v>
      </c>
      <c r="E38" s="98"/>
      <c r="F38" s="88" t="s">
        <v>241</v>
      </c>
      <c r="G38" s="98"/>
    </row>
    <row r="39">
      <c r="A39" s="85"/>
      <c r="B39" s="90"/>
      <c r="C39" s="96" t="s">
        <v>242</v>
      </c>
      <c r="D39" s="100">
        <v>3.0</v>
      </c>
      <c r="E39" s="79"/>
      <c r="F39" s="96">
        <v>2.0</v>
      </c>
      <c r="G39" s="79"/>
    </row>
    <row r="40">
      <c r="A40" s="97"/>
      <c r="B40" s="98"/>
      <c r="C40" s="89" t="s">
        <v>243</v>
      </c>
      <c r="D40" s="99">
        <v>3.0</v>
      </c>
      <c r="E40" s="98"/>
      <c r="F40" s="88" t="s">
        <v>241</v>
      </c>
      <c r="G40" s="98"/>
    </row>
    <row r="41">
      <c r="A41" s="85"/>
      <c r="B41" s="90"/>
      <c r="C41" s="96"/>
      <c r="D41" s="100"/>
      <c r="E41" s="79"/>
      <c r="F41" s="101"/>
      <c r="G41" s="79"/>
    </row>
    <row r="42">
      <c r="A42" s="87">
        <v>10.0</v>
      </c>
      <c r="B42" s="108" t="s">
        <v>222</v>
      </c>
      <c r="C42" s="88"/>
      <c r="D42" s="99"/>
      <c r="E42" s="98"/>
      <c r="F42" s="88"/>
      <c r="G42" s="98"/>
    </row>
    <row r="43">
      <c r="A43" s="85"/>
      <c r="B43" s="90"/>
      <c r="C43" s="96" t="s">
        <v>244</v>
      </c>
      <c r="D43" s="100">
        <v>3.0</v>
      </c>
      <c r="E43" s="79"/>
      <c r="F43" s="79"/>
      <c r="G43" s="79"/>
    </row>
    <row r="44">
      <c r="A44" s="97"/>
      <c r="B44" s="95"/>
      <c r="C44" s="88" t="s">
        <v>245</v>
      </c>
      <c r="D44" s="99">
        <v>3.0</v>
      </c>
      <c r="E44" s="98"/>
      <c r="F44" s="98"/>
      <c r="G44" s="98"/>
    </row>
    <row r="45">
      <c r="A45" s="85"/>
      <c r="B45" s="90"/>
      <c r="C45" s="96" t="s">
        <v>246</v>
      </c>
      <c r="D45" s="100">
        <v>2.0</v>
      </c>
      <c r="E45" s="79"/>
      <c r="F45" s="96"/>
      <c r="G45" s="79"/>
    </row>
    <row r="46">
      <c r="A46" s="97"/>
      <c r="B46" s="98"/>
      <c r="C46" s="88" t="s">
        <v>247</v>
      </c>
      <c r="D46" s="99">
        <v>8.0</v>
      </c>
      <c r="E46" s="98"/>
      <c r="F46" s="88"/>
      <c r="G46" s="98"/>
    </row>
    <row r="47">
      <c r="A47" s="85"/>
      <c r="B47" s="90"/>
      <c r="C47" s="96" t="s">
        <v>248</v>
      </c>
      <c r="D47" s="100">
        <v>2.0</v>
      </c>
      <c r="E47" s="79"/>
      <c r="F47" s="96"/>
      <c r="G47" s="79"/>
    </row>
    <row r="48">
      <c r="A48" s="97"/>
      <c r="B48" s="98"/>
      <c r="C48" s="88"/>
      <c r="D48" s="99"/>
      <c r="E48" s="98"/>
      <c r="F48" s="88"/>
      <c r="G48" s="98"/>
    </row>
    <row r="49">
      <c r="A49" s="85"/>
      <c r="B49" s="90"/>
      <c r="C49" s="96"/>
      <c r="D49" s="100"/>
      <c r="E49" s="79"/>
      <c r="F49" s="96"/>
      <c r="G49" s="79"/>
    </row>
    <row r="50">
      <c r="A50" s="87">
        <v>11.0</v>
      </c>
      <c r="B50" s="111" t="s">
        <v>223</v>
      </c>
      <c r="C50" s="88"/>
      <c r="D50" s="99"/>
      <c r="E50" s="98"/>
      <c r="F50" s="88"/>
      <c r="G50" s="98"/>
    </row>
    <row r="51">
      <c r="A51" s="85"/>
      <c r="B51" s="90"/>
      <c r="C51" s="96" t="s">
        <v>249</v>
      </c>
      <c r="D51" s="100">
        <v>3.0</v>
      </c>
      <c r="E51" s="79"/>
      <c r="F51" s="79"/>
      <c r="G51" s="79"/>
    </row>
    <row r="52">
      <c r="A52" s="87"/>
      <c r="B52" s="95"/>
      <c r="C52" s="88" t="s">
        <v>250</v>
      </c>
      <c r="D52" s="99">
        <v>3.0</v>
      </c>
      <c r="E52" s="98"/>
      <c r="F52" s="98"/>
      <c r="G52" s="98"/>
    </row>
    <row r="53">
      <c r="A53" s="85"/>
      <c r="B53" s="90"/>
      <c r="C53" s="96" t="s">
        <v>251</v>
      </c>
      <c r="D53" s="100">
        <v>3.0</v>
      </c>
      <c r="E53" s="79"/>
      <c r="F53" s="96"/>
      <c r="G53" s="79"/>
    </row>
    <row r="54">
      <c r="A54" s="97"/>
      <c r="B54" s="98"/>
      <c r="C54" s="96" t="s">
        <v>252</v>
      </c>
      <c r="D54" s="99">
        <v>3.0</v>
      </c>
      <c r="E54" s="98"/>
      <c r="F54" s="88"/>
      <c r="G54" s="98"/>
    </row>
    <row r="55">
      <c r="A55" s="85"/>
      <c r="B55" s="90"/>
      <c r="C55" s="96" t="s">
        <v>253</v>
      </c>
      <c r="D55" s="100">
        <v>3.0</v>
      </c>
      <c r="E55" s="79"/>
      <c r="F55" s="96"/>
      <c r="G55" s="79"/>
    </row>
    <row r="56">
      <c r="A56" s="97"/>
      <c r="B56" s="98"/>
      <c r="C56" s="88"/>
      <c r="D56" s="99"/>
      <c r="E56" s="98"/>
      <c r="F56" s="88"/>
      <c r="G56" s="98"/>
    </row>
    <row r="57">
      <c r="A57" s="103">
        <v>12.0</v>
      </c>
      <c r="B57" s="112" t="s">
        <v>254</v>
      </c>
      <c r="C57" s="96"/>
      <c r="D57" s="100"/>
      <c r="E57" s="79"/>
      <c r="F57" s="96"/>
      <c r="G57" s="79"/>
    </row>
    <row r="58">
      <c r="A58" s="97"/>
      <c r="B58" s="98"/>
      <c r="C58" s="88" t="s">
        <v>255</v>
      </c>
      <c r="D58" s="99">
        <v>3.0</v>
      </c>
      <c r="E58" s="98"/>
      <c r="F58" s="99"/>
      <c r="G58" s="98"/>
    </row>
    <row r="59">
      <c r="A59" s="85"/>
      <c r="B59" s="90"/>
      <c r="C59" s="96" t="s">
        <v>256</v>
      </c>
      <c r="D59" s="100">
        <v>2.0</v>
      </c>
      <c r="E59" s="79"/>
      <c r="F59" s="96"/>
      <c r="G59" s="79"/>
    </row>
    <row r="60">
      <c r="A60" s="97"/>
      <c r="B60" s="98"/>
      <c r="C60" s="88" t="s">
        <v>257</v>
      </c>
      <c r="D60" s="99">
        <v>3.0</v>
      </c>
      <c r="E60" s="98"/>
      <c r="F60" s="98"/>
      <c r="G60" s="98"/>
    </row>
    <row r="61">
      <c r="A61" s="103"/>
      <c r="B61" s="112"/>
      <c r="C61" s="96" t="s">
        <v>258</v>
      </c>
      <c r="D61" s="100">
        <v>3.0</v>
      </c>
      <c r="E61" s="79"/>
      <c r="F61" s="79"/>
      <c r="G61" s="79"/>
    </row>
    <row r="62">
      <c r="A62" s="97"/>
      <c r="B62" s="98"/>
      <c r="C62" s="88"/>
      <c r="D62" s="99"/>
      <c r="E62" s="98"/>
      <c r="F62" s="98"/>
      <c r="G62" s="98"/>
    </row>
    <row r="63">
      <c r="A63" s="85"/>
      <c r="B63" s="90"/>
      <c r="C63" s="96"/>
      <c r="D63" s="100"/>
      <c r="E63" s="79"/>
      <c r="F63" s="79"/>
      <c r="G63" s="79"/>
    </row>
    <row r="64">
      <c r="A64" s="87">
        <v>13.0</v>
      </c>
      <c r="B64" s="108" t="s">
        <v>225</v>
      </c>
      <c r="C64" s="89"/>
      <c r="D64" s="99"/>
      <c r="E64" s="98"/>
      <c r="F64" s="98"/>
      <c r="G64" s="98"/>
    </row>
    <row r="65">
      <c r="A65" s="85"/>
      <c r="C65" s="107" t="s">
        <v>259</v>
      </c>
      <c r="D65" s="100">
        <v>3.0</v>
      </c>
      <c r="E65" s="79"/>
      <c r="F65" s="79"/>
      <c r="G65" s="79"/>
    </row>
    <row r="66">
      <c r="A66" s="97"/>
      <c r="C66" s="88" t="s">
        <v>260</v>
      </c>
      <c r="D66" s="99">
        <v>3.0</v>
      </c>
      <c r="E66" s="98"/>
      <c r="F66" s="98"/>
      <c r="G66" s="98"/>
    </row>
    <row r="67">
      <c r="A67" s="85"/>
      <c r="C67" s="107" t="s">
        <v>261</v>
      </c>
      <c r="D67" s="100">
        <v>3.0</v>
      </c>
      <c r="E67" s="79"/>
      <c r="F67" s="79"/>
      <c r="G67" s="79"/>
    </row>
    <row r="68">
      <c r="A68" s="97"/>
      <c r="C68" s="88" t="s">
        <v>262</v>
      </c>
      <c r="D68" s="99">
        <v>3.0</v>
      </c>
      <c r="E68" s="98"/>
      <c r="F68" s="98"/>
      <c r="G68" s="98"/>
    </row>
    <row r="69">
      <c r="A69" s="85"/>
      <c r="B69" s="90"/>
      <c r="C69" s="96"/>
      <c r="D69" s="80"/>
      <c r="E69" s="79"/>
      <c r="F69" s="79"/>
      <c r="G69" s="79"/>
    </row>
    <row r="70">
      <c r="A70" s="97"/>
      <c r="B70" s="98"/>
      <c r="C70" s="98"/>
      <c r="D70" s="86"/>
      <c r="E70" s="98"/>
      <c r="F70" s="98"/>
      <c r="G70" s="98"/>
    </row>
    <row r="71">
      <c r="A71" s="103">
        <v>14.0</v>
      </c>
      <c r="B71" s="112" t="s">
        <v>226</v>
      </c>
      <c r="C71" s="79"/>
      <c r="D71" s="80"/>
      <c r="E71" s="79"/>
      <c r="F71" s="79"/>
      <c r="G71" s="79"/>
    </row>
    <row r="72">
      <c r="A72" s="97"/>
      <c r="B72" s="98"/>
      <c r="C72" s="88" t="s">
        <v>263</v>
      </c>
      <c r="D72" s="99">
        <v>3.0</v>
      </c>
      <c r="E72" s="98"/>
      <c r="F72" s="98"/>
      <c r="G72" s="98"/>
    </row>
    <row r="73">
      <c r="A73" s="85"/>
      <c r="B73" s="90"/>
      <c r="C73" s="96" t="s">
        <v>264</v>
      </c>
      <c r="D73" s="100">
        <v>5.0</v>
      </c>
      <c r="E73" s="79"/>
      <c r="F73" s="79"/>
      <c r="G73" s="79"/>
    </row>
    <row r="74">
      <c r="A74" s="97"/>
      <c r="B74" s="98"/>
      <c r="C74" s="88" t="s">
        <v>265</v>
      </c>
      <c r="D74" s="99">
        <v>3.0</v>
      </c>
      <c r="E74" s="98"/>
      <c r="F74" s="98"/>
      <c r="G74" s="98"/>
    </row>
    <row r="75">
      <c r="A75" s="85"/>
      <c r="B75" s="90"/>
      <c r="C75" s="96" t="s">
        <v>266</v>
      </c>
      <c r="D75" s="100">
        <v>3.0</v>
      </c>
      <c r="E75" s="79"/>
      <c r="F75" s="79"/>
      <c r="G75" s="79"/>
    </row>
    <row r="76">
      <c r="A76" s="97"/>
      <c r="B76" s="98"/>
      <c r="C76" s="88"/>
      <c r="D76" s="99"/>
      <c r="E76" s="98"/>
      <c r="F76" s="98"/>
      <c r="G76" s="98"/>
    </row>
    <row r="77">
      <c r="A77" s="85"/>
      <c r="B77" s="90"/>
      <c r="C77" s="79"/>
      <c r="D77" s="80"/>
      <c r="E77" s="79"/>
      <c r="F77" s="79"/>
      <c r="G77" s="79"/>
    </row>
    <row r="78">
      <c r="A78" s="97"/>
      <c r="B78" s="98"/>
      <c r="C78" s="98"/>
      <c r="D78" s="86"/>
      <c r="E78" s="98"/>
      <c r="F78" s="98"/>
      <c r="G78" s="98"/>
    </row>
    <row r="79">
      <c r="A79" s="85"/>
      <c r="B79" s="90"/>
      <c r="C79" s="79"/>
      <c r="D79" s="80"/>
      <c r="E79" s="79"/>
      <c r="F79" s="79"/>
      <c r="G79" s="79"/>
    </row>
    <row r="80">
      <c r="A80" s="97"/>
      <c r="B80" s="98"/>
      <c r="C80" s="98"/>
      <c r="D80" s="86"/>
      <c r="E80" s="98"/>
      <c r="F80" s="98"/>
      <c r="G80" s="98"/>
    </row>
    <row r="81">
      <c r="A81" s="97"/>
      <c r="B81" s="98"/>
      <c r="C81" s="98"/>
      <c r="D81" s="86"/>
      <c r="E81" s="98"/>
      <c r="F81" s="98"/>
      <c r="G81" s="98"/>
    </row>
    <row r="82">
      <c r="A82" s="97"/>
      <c r="B82" s="98"/>
      <c r="C82" s="73"/>
      <c r="D82" s="73"/>
      <c r="E82" s="73"/>
      <c r="F82" s="73"/>
      <c r="G82" s="73"/>
    </row>
    <row r="83">
      <c r="A83" s="97"/>
      <c r="B83" s="98"/>
      <c r="C83" s="102" t="s">
        <v>220</v>
      </c>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row r="133">
      <c r="A133" s="97"/>
      <c r="B133" s="98"/>
      <c r="C133" s="73"/>
      <c r="D133" s="73"/>
      <c r="E133" s="73"/>
      <c r="F133" s="73"/>
      <c r="G133" s="73"/>
    </row>
    <row r="134">
      <c r="A134" s="97"/>
      <c r="B134" s="98"/>
      <c r="C134" s="73"/>
      <c r="D134" s="73"/>
      <c r="E134" s="73"/>
      <c r="F134" s="73"/>
      <c r="G134" s="7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3" t="s">
        <v>65</v>
      </c>
      <c r="B1" s="68" t="s">
        <v>267</v>
      </c>
      <c r="C1" s="68" t="s">
        <v>268</v>
      </c>
      <c r="D1" s="114" t="s">
        <v>269</v>
      </c>
    </row>
    <row r="2">
      <c r="A2" s="64"/>
      <c r="B2" s="3" t="s">
        <v>270</v>
      </c>
      <c r="C2" s="64"/>
      <c r="D2" s="64"/>
    </row>
    <row r="3">
      <c r="A3" s="64"/>
      <c r="B3" s="51" t="s">
        <v>271</v>
      </c>
      <c r="C3" s="64"/>
      <c r="D3" s="64"/>
    </row>
    <row r="4">
      <c r="A4" s="64"/>
      <c r="B4" s="44" t="s">
        <v>272</v>
      </c>
      <c r="C4" s="64"/>
      <c r="D4" s="64"/>
    </row>
    <row r="5">
      <c r="A5" s="64"/>
      <c r="B5" s="3" t="s">
        <v>273</v>
      </c>
      <c r="C5" s="64"/>
      <c r="D5" s="64"/>
    </row>
    <row r="6">
      <c r="A6" s="64"/>
      <c r="B6" s="9" t="s">
        <v>274</v>
      </c>
      <c r="C6" s="64"/>
      <c r="D6" s="64"/>
    </row>
    <row r="7">
      <c r="A7" s="64"/>
      <c r="B7" s="3" t="s">
        <v>275</v>
      </c>
      <c r="C7" s="64"/>
      <c r="D7" s="64"/>
    </row>
    <row r="8">
      <c r="A8" s="64"/>
      <c r="B8" s="9" t="s">
        <v>276</v>
      </c>
      <c r="C8" s="64"/>
      <c r="D8" s="64"/>
    </row>
    <row r="9">
      <c r="A9" s="64"/>
      <c r="B9" s="63" t="s">
        <v>277</v>
      </c>
    </row>
    <row r="10">
      <c r="A10" s="64"/>
      <c r="B10" s="63" t="s">
        <v>278</v>
      </c>
    </row>
    <row r="11">
      <c r="A11" s="64"/>
      <c r="B11" s="63" t="s">
        <v>279</v>
      </c>
      <c r="D11" s="64"/>
    </row>
    <row r="12">
      <c r="A12" s="64"/>
      <c r="B12" s="63" t="s">
        <v>280</v>
      </c>
    </row>
    <row r="13">
      <c r="A13" s="64"/>
      <c r="B13" s="63" t="s">
        <v>281</v>
      </c>
      <c r="C13" s="115"/>
      <c r="D13" s="64"/>
    </row>
    <row r="14">
      <c r="A14" s="64"/>
      <c r="B14" s="44" t="s">
        <v>282</v>
      </c>
    </row>
    <row r="15">
      <c r="A15" s="64"/>
      <c r="B15" s="64"/>
      <c r="C15" s="115" t="s">
        <v>283</v>
      </c>
      <c r="D15" s="64"/>
    </row>
    <row r="16">
      <c r="A16" s="64"/>
      <c r="B16" s="64"/>
      <c r="C16" s="51" t="s">
        <v>284</v>
      </c>
      <c r="D16" s="64"/>
    </row>
    <row r="17">
      <c r="A17" s="64"/>
      <c r="B17" s="64"/>
      <c r="C17" s="64"/>
      <c r="D17" s="44" t="s">
        <v>285</v>
      </c>
    </row>
    <row r="18">
      <c r="A18" s="64"/>
      <c r="B18" s="64"/>
      <c r="C18" s="64"/>
      <c r="D18" s="44" t="s">
        <v>286</v>
      </c>
    </row>
    <row r="19">
      <c r="A19" s="64"/>
      <c r="B19" s="64"/>
      <c r="C19" s="64"/>
      <c r="D19" s="44" t="s">
        <v>287</v>
      </c>
    </row>
    <row r="20">
      <c r="A20" s="64"/>
      <c r="B20" s="64"/>
      <c r="C20" s="64"/>
      <c r="D20" s="44" t="s">
        <v>288</v>
      </c>
    </row>
    <row r="21">
      <c r="A21" s="64"/>
      <c r="B21" s="64"/>
      <c r="C21" s="64"/>
      <c r="D21" s="44" t="s">
        <v>289</v>
      </c>
    </row>
    <row r="22">
      <c r="A22" s="64"/>
      <c r="B22" s="64"/>
      <c r="C22" s="64"/>
      <c r="D22" s="44" t="s">
        <v>290</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1" t="s">
        <v>291</v>
      </c>
      <c r="B1" s="61" t="s">
        <v>292</v>
      </c>
    </row>
    <row r="2">
      <c r="A2" s="63" t="s">
        <v>293</v>
      </c>
      <c r="B2" s="116" t="s">
        <v>294</v>
      </c>
    </row>
    <row r="3">
      <c r="A3" s="63" t="s">
        <v>295</v>
      </c>
      <c r="B3" s="116" t="s">
        <v>296</v>
      </c>
    </row>
    <row r="4">
      <c r="A4" s="63" t="s">
        <v>297</v>
      </c>
      <c r="B4" s="116" t="s">
        <v>298</v>
      </c>
    </row>
    <row r="5">
      <c r="A5" s="64"/>
      <c r="B5" s="64"/>
    </row>
    <row r="6">
      <c r="A6" s="64"/>
      <c r="B6" s="64"/>
    </row>
    <row r="7">
      <c r="A7" s="64"/>
      <c r="B7" s="64"/>
    </row>
    <row r="8">
      <c r="A8" s="64"/>
      <c r="B8" s="64"/>
    </row>
    <row r="9">
      <c r="A9" s="64"/>
      <c r="B9" s="64"/>
    </row>
    <row r="10">
      <c r="A10" s="64"/>
      <c r="B10" s="64"/>
    </row>
    <row r="11">
      <c r="A11" s="64"/>
      <c r="B11" s="64"/>
    </row>
    <row r="12">
      <c r="A12" s="64"/>
      <c r="B12" s="64"/>
    </row>
    <row r="13">
      <c r="A13" s="64"/>
      <c r="B13" s="64"/>
    </row>
    <row r="14">
      <c r="A14" s="64"/>
      <c r="B14" s="64"/>
    </row>
    <row r="15">
      <c r="A15" s="64"/>
      <c r="B15" s="64"/>
    </row>
    <row r="16">
      <c r="A16" s="64"/>
      <c r="B16" s="64"/>
    </row>
    <row r="17">
      <c r="A17" s="64"/>
      <c r="B17" s="64"/>
    </row>
    <row r="18">
      <c r="A18" s="64"/>
      <c r="B18" s="64"/>
    </row>
    <row r="19">
      <c r="A19" s="64"/>
      <c r="B19" s="64"/>
    </row>
    <row r="20">
      <c r="A20" s="64"/>
      <c r="B20" s="64"/>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7" t="s">
        <v>299</v>
      </c>
      <c r="B1" s="118" t="s">
        <v>300</v>
      </c>
      <c r="C1" s="119"/>
      <c r="D1" s="120" t="s">
        <v>301</v>
      </c>
      <c r="E1" s="119"/>
      <c r="F1" s="119"/>
      <c r="G1" s="119"/>
      <c r="H1" s="119"/>
      <c r="I1" s="120" t="s">
        <v>302</v>
      </c>
      <c r="J1" s="119"/>
      <c r="K1" s="121"/>
      <c r="L1" s="119"/>
      <c r="M1" s="119"/>
      <c r="N1" s="119"/>
      <c r="O1" s="119"/>
      <c r="P1" s="120" t="s">
        <v>303</v>
      </c>
      <c r="Q1" s="119"/>
      <c r="R1" s="119"/>
      <c r="S1" s="119"/>
      <c r="T1" s="119"/>
      <c r="U1" s="119"/>
    </row>
    <row r="2">
      <c r="A2" s="117" t="s">
        <v>304</v>
      </c>
      <c r="B2" s="122" t="s">
        <v>305</v>
      </c>
      <c r="C2" s="123"/>
      <c r="D2" s="123"/>
      <c r="E2" s="123"/>
      <c r="F2" s="123"/>
      <c r="G2" s="123"/>
      <c r="H2" s="123"/>
      <c r="I2" s="123"/>
      <c r="J2" s="123"/>
      <c r="K2" s="124"/>
      <c r="L2" s="123"/>
      <c r="M2" s="123"/>
      <c r="N2" s="123"/>
      <c r="O2" s="123"/>
      <c r="P2" s="123"/>
      <c r="Q2" s="123"/>
      <c r="R2" s="123"/>
      <c r="S2" s="123"/>
      <c r="T2" s="123"/>
      <c r="U2" s="123"/>
    </row>
    <row r="3">
      <c r="A3" s="117" t="s">
        <v>306</v>
      </c>
      <c r="B3" s="122" t="s">
        <v>307</v>
      </c>
      <c r="C3" s="123"/>
      <c r="D3" s="123"/>
      <c r="E3" s="123"/>
      <c r="F3" s="123"/>
      <c r="G3" s="123"/>
      <c r="H3" s="123"/>
      <c r="I3" s="123"/>
      <c r="J3" s="123"/>
      <c r="K3" s="124"/>
      <c r="L3" s="123"/>
      <c r="M3" s="123"/>
      <c r="N3" s="123"/>
      <c r="O3" s="123"/>
      <c r="P3" s="123"/>
      <c r="Q3" s="123"/>
      <c r="R3" s="123"/>
      <c r="S3" s="123"/>
      <c r="T3" s="123"/>
      <c r="U3" s="123"/>
    </row>
    <row r="4">
      <c r="A4" s="117" t="s">
        <v>308</v>
      </c>
      <c r="B4" s="122" t="s">
        <v>309</v>
      </c>
      <c r="C4" s="123"/>
      <c r="D4" s="117" t="s">
        <v>310</v>
      </c>
      <c r="E4" s="117" t="s">
        <v>311</v>
      </c>
      <c r="F4" s="117" t="s">
        <v>312</v>
      </c>
      <c r="G4" s="117" t="s">
        <v>313</v>
      </c>
      <c r="H4" s="123"/>
      <c r="I4" s="125" t="s">
        <v>310</v>
      </c>
      <c r="J4" s="125" t="s">
        <v>311</v>
      </c>
      <c r="K4" s="125" t="s">
        <v>304</v>
      </c>
      <c r="L4" s="125" t="s">
        <v>314</v>
      </c>
      <c r="M4" s="125" t="s">
        <v>315</v>
      </c>
      <c r="N4" s="125" t="s">
        <v>313</v>
      </c>
      <c r="O4" s="123"/>
      <c r="P4" s="125" t="s">
        <v>310</v>
      </c>
      <c r="Q4" s="125" t="s">
        <v>311</v>
      </c>
      <c r="R4" s="125" t="s">
        <v>304</v>
      </c>
      <c r="S4" s="125" t="s">
        <v>313</v>
      </c>
      <c r="T4" s="126"/>
      <c r="U4" s="126"/>
    </row>
    <row r="5">
      <c r="A5" s="117" t="s">
        <v>316</v>
      </c>
      <c r="B5" s="127" t="s">
        <v>317</v>
      </c>
      <c r="C5" s="123"/>
      <c r="D5" s="117" t="s">
        <v>124</v>
      </c>
      <c r="E5" s="128" t="s">
        <v>318</v>
      </c>
      <c r="F5" s="128" t="s">
        <v>319</v>
      </c>
      <c r="G5" s="128" t="s">
        <v>320</v>
      </c>
      <c r="H5" s="123"/>
      <c r="I5" s="129" t="s">
        <v>321</v>
      </c>
      <c r="J5" s="130" t="s">
        <v>322</v>
      </c>
      <c r="K5" s="131" t="s">
        <v>323</v>
      </c>
      <c r="L5" s="130" t="s">
        <v>324</v>
      </c>
      <c r="M5" s="130" t="s">
        <v>325</v>
      </c>
      <c r="N5" s="130" t="s">
        <v>326</v>
      </c>
      <c r="O5" s="123"/>
      <c r="P5" s="129" t="s">
        <v>327</v>
      </c>
      <c r="Q5" s="130" t="s">
        <v>328</v>
      </c>
      <c r="R5" s="130" t="s">
        <v>329</v>
      </c>
      <c r="S5" s="130" t="s">
        <v>330</v>
      </c>
      <c r="T5" s="132"/>
      <c r="U5" s="132"/>
    </row>
    <row r="6">
      <c r="A6" s="117" t="s">
        <v>331</v>
      </c>
      <c r="B6" s="127" t="s">
        <v>83</v>
      </c>
      <c r="C6" s="123"/>
      <c r="D6" s="117" t="s">
        <v>332</v>
      </c>
      <c r="E6" s="128" t="s">
        <v>333</v>
      </c>
      <c r="F6" s="128" t="s">
        <v>334</v>
      </c>
      <c r="G6" s="128" t="s">
        <v>335</v>
      </c>
      <c r="H6" s="123"/>
      <c r="I6" s="129" t="s">
        <v>336</v>
      </c>
      <c r="J6" s="130" t="s">
        <v>322</v>
      </c>
      <c r="K6" s="131" t="s">
        <v>337</v>
      </c>
      <c r="L6" s="130" t="s">
        <v>338</v>
      </c>
      <c r="M6" s="130" t="s">
        <v>339</v>
      </c>
      <c r="N6" s="130" t="s">
        <v>340</v>
      </c>
      <c r="O6" s="123"/>
      <c r="P6" s="129" t="s">
        <v>341</v>
      </c>
      <c r="Q6" s="131" t="s">
        <v>317</v>
      </c>
      <c r="R6" s="130" t="s">
        <v>342</v>
      </c>
      <c r="S6" s="130" t="s">
        <v>343</v>
      </c>
      <c r="T6" s="132"/>
      <c r="U6" s="132"/>
    </row>
    <row r="7">
      <c r="A7" s="123"/>
      <c r="B7" s="123"/>
      <c r="C7" s="123"/>
      <c r="D7" s="117" t="s">
        <v>344</v>
      </c>
      <c r="E7" s="128" t="s">
        <v>345</v>
      </c>
      <c r="F7" s="128" t="s">
        <v>346</v>
      </c>
      <c r="G7" s="128" t="s">
        <v>347</v>
      </c>
      <c r="H7" s="123"/>
      <c r="I7" s="129" t="s">
        <v>348</v>
      </c>
      <c r="J7" s="130" t="s">
        <v>322</v>
      </c>
      <c r="K7" s="130" t="s">
        <v>349</v>
      </c>
      <c r="L7" s="130" t="s">
        <v>350</v>
      </c>
      <c r="M7" s="130" t="s">
        <v>351</v>
      </c>
      <c r="N7" s="130" t="s">
        <v>352</v>
      </c>
      <c r="O7" s="123"/>
      <c r="P7" s="129" t="s">
        <v>353</v>
      </c>
      <c r="Q7" s="131" t="s">
        <v>354</v>
      </c>
      <c r="R7" s="130" t="s">
        <v>355</v>
      </c>
      <c r="S7" s="130" t="s">
        <v>356</v>
      </c>
      <c r="T7" s="132"/>
      <c r="U7" s="132"/>
    </row>
    <row r="8">
      <c r="A8" s="123"/>
      <c r="B8" s="123"/>
      <c r="C8" s="123"/>
      <c r="D8" s="117" t="s">
        <v>357</v>
      </c>
      <c r="E8" s="128" t="s">
        <v>345</v>
      </c>
      <c r="F8" s="128" t="s">
        <v>358</v>
      </c>
      <c r="G8" s="128" t="s">
        <v>359</v>
      </c>
      <c r="H8" s="123"/>
      <c r="I8" s="129" t="s">
        <v>360</v>
      </c>
      <c r="J8" s="130" t="s">
        <v>322</v>
      </c>
      <c r="K8" s="130" t="s">
        <v>361</v>
      </c>
      <c r="L8" s="130" t="s">
        <v>350</v>
      </c>
      <c r="M8" s="130" t="s">
        <v>362</v>
      </c>
      <c r="N8" s="130" t="s">
        <v>363</v>
      </c>
      <c r="O8" s="123"/>
      <c r="P8" s="123"/>
      <c r="Q8" s="123"/>
      <c r="R8" s="123"/>
      <c r="S8" s="123"/>
      <c r="T8" s="123"/>
      <c r="U8" s="123"/>
    </row>
    <row r="9">
      <c r="A9" s="123"/>
      <c r="B9" s="123"/>
      <c r="C9" s="123"/>
      <c r="D9" s="133" t="s">
        <v>312</v>
      </c>
      <c r="E9" s="128" t="s">
        <v>364</v>
      </c>
      <c r="F9" s="134" t="s">
        <v>365</v>
      </c>
      <c r="G9" s="128" t="s">
        <v>366</v>
      </c>
      <c r="H9" s="123"/>
      <c r="I9" s="129" t="s">
        <v>367</v>
      </c>
      <c r="J9" s="130" t="s">
        <v>368</v>
      </c>
      <c r="K9" s="131" t="s">
        <v>369</v>
      </c>
      <c r="L9" s="130" t="s">
        <v>370</v>
      </c>
      <c r="M9" s="130" t="s">
        <v>371</v>
      </c>
      <c r="N9" s="130" t="s">
        <v>372</v>
      </c>
      <c r="O9" s="123"/>
      <c r="P9" s="123"/>
      <c r="Q9" s="123"/>
      <c r="R9" s="123"/>
      <c r="S9" s="123"/>
      <c r="T9" s="123"/>
      <c r="U9" s="123"/>
    </row>
    <row r="10">
      <c r="A10" s="123"/>
      <c r="B10" s="123"/>
      <c r="C10" s="123"/>
      <c r="D10" s="135" t="s">
        <v>373</v>
      </c>
      <c r="E10" s="134" t="s">
        <v>374</v>
      </c>
      <c r="F10" s="136" t="s">
        <v>375</v>
      </c>
      <c r="G10" s="136" t="s">
        <v>376</v>
      </c>
      <c r="H10" s="123"/>
      <c r="I10" s="129" t="s">
        <v>377</v>
      </c>
      <c r="J10" s="130" t="s">
        <v>368</v>
      </c>
      <c r="K10" s="130" t="s">
        <v>378</v>
      </c>
      <c r="L10" s="130" t="s">
        <v>379</v>
      </c>
      <c r="M10" s="130" t="s">
        <v>380</v>
      </c>
      <c r="N10" s="130" t="s">
        <v>381</v>
      </c>
      <c r="O10" s="123"/>
      <c r="P10" s="137"/>
      <c r="Q10" s="123"/>
      <c r="R10" s="123"/>
      <c r="S10" s="123"/>
      <c r="T10" s="123"/>
      <c r="U10" s="123"/>
    </row>
    <row r="11">
      <c r="A11" s="123"/>
      <c r="B11" s="123"/>
      <c r="C11" s="123"/>
      <c r="H11" s="123"/>
      <c r="I11" s="129" t="s">
        <v>382</v>
      </c>
      <c r="J11" s="130" t="s">
        <v>368</v>
      </c>
      <c r="K11" s="130" t="s">
        <v>383</v>
      </c>
      <c r="L11" s="130" t="s">
        <v>350</v>
      </c>
      <c r="M11" s="130" t="s">
        <v>351</v>
      </c>
      <c r="N11" s="130" t="s">
        <v>384</v>
      </c>
      <c r="O11" s="123"/>
      <c r="P11" s="58"/>
      <c r="Q11" s="58"/>
      <c r="R11" s="58"/>
      <c r="S11" s="58"/>
      <c r="T11" s="123"/>
      <c r="U11" s="123"/>
    </row>
    <row r="12">
      <c r="A12" s="123"/>
      <c r="B12" s="123"/>
      <c r="C12" s="123"/>
      <c r="D12" s="138"/>
      <c r="E12" s="138"/>
      <c r="F12" s="138"/>
      <c r="G12" s="138"/>
      <c r="H12" s="123"/>
      <c r="I12" s="129" t="s">
        <v>385</v>
      </c>
      <c r="J12" s="130" t="s">
        <v>368</v>
      </c>
      <c r="K12" s="130" t="s">
        <v>386</v>
      </c>
      <c r="L12" s="130" t="s">
        <v>370</v>
      </c>
      <c r="M12" s="130" t="s">
        <v>387</v>
      </c>
      <c r="N12" s="130" t="s">
        <v>388</v>
      </c>
      <c r="O12" s="123"/>
      <c r="T12" s="123"/>
      <c r="U12" s="123"/>
    </row>
    <row r="13">
      <c r="A13" s="123"/>
      <c r="B13" s="123"/>
      <c r="C13" s="123"/>
      <c r="D13" s="139" t="s">
        <v>389</v>
      </c>
      <c r="E13" s="140"/>
      <c r="F13" s="140"/>
      <c r="G13" s="140"/>
      <c r="H13" s="123"/>
      <c r="I13" s="129" t="s">
        <v>390</v>
      </c>
      <c r="J13" s="130" t="s">
        <v>368</v>
      </c>
      <c r="K13" s="130" t="s">
        <v>391</v>
      </c>
      <c r="L13" s="130" t="s">
        <v>370</v>
      </c>
      <c r="M13" s="130" t="s">
        <v>392</v>
      </c>
      <c r="N13" s="130" t="s">
        <v>393</v>
      </c>
      <c r="O13" s="123"/>
      <c r="P13" s="44"/>
      <c r="Q13" s="141"/>
      <c r="R13" s="44"/>
      <c r="S13" s="44"/>
      <c r="T13" s="123"/>
      <c r="U13" s="123"/>
    </row>
    <row r="14">
      <c r="A14" s="123"/>
      <c r="B14" s="123"/>
      <c r="C14" s="123"/>
      <c r="D14" s="142" t="s">
        <v>134</v>
      </c>
      <c r="E14" s="143" t="s">
        <v>318</v>
      </c>
      <c r="F14" s="143" t="s">
        <v>394</v>
      </c>
      <c r="G14" s="143" t="s">
        <v>395</v>
      </c>
      <c r="H14" s="123"/>
      <c r="I14" s="129" t="s">
        <v>396</v>
      </c>
      <c r="J14" s="130" t="s">
        <v>368</v>
      </c>
      <c r="K14" s="130" t="s">
        <v>397</v>
      </c>
      <c r="L14" s="130" t="s">
        <v>379</v>
      </c>
      <c r="M14" s="130" t="s">
        <v>398</v>
      </c>
      <c r="N14" s="130" t="s">
        <v>399</v>
      </c>
      <c r="O14" s="123"/>
      <c r="P14" s="44"/>
      <c r="Q14" s="141"/>
      <c r="R14" s="44"/>
      <c r="S14" s="44"/>
    </row>
    <row r="15">
      <c r="A15" s="123"/>
      <c r="B15" s="123"/>
      <c r="C15" s="123"/>
      <c r="D15" s="144"/>
      <c r="E15" s="144"/>
      <c r="F15" s="144"/>
      <c r="G15" s="144"/>
      <c r="H15" s="123"/>
      <c r="I15" s="129" t="s">
        <v>400</v>
      </c>
      <c r="J15" s="130" t="s">
        <v>368</v>
      </c>
      <c r="K15" s="130" t="s">
        <v>361</v>
      </c>
      <c r="L15" s="130" t="s">
        <v>350</v>
      </c>
      <c r="M15" s="130" t="s">
        <v>401</v>
      </c>
      <c r="N15" s="130" t="s">
        <v>402</v>
      </c>
      <c r="O15" s="123"/>
      <c r="P15" s="44"/>
      <c r="Q15" s="141"/>
      <c r="R15" s="44"/>
      <c r="S15" s="44"/>
      <c r="T15" s="123"/>
      <c r="U15" s="123"/>
    </row>
    <row r="16">
      <c r="A16" s="123"/>
      <c r="B16" s="123"/>
      <c r="C16" s="123"/>
      <c r="D16" s="120" t="s">
        <v>403</v>
      </c>
      <c r="E16" s="123"/>
      <c r="F16" s="123"/>
      <c r="G16" s="123"/>
      <c r="H16" s="123"/>
      <c r="I16" s="129" t="s">
        <v>404</v>
      </c>
      <c r="J16" s="130" t="s">
        <v>368</v>
      </c>
      <c r="K16" s="130" t="s">
        <v>405</v>
      </c>
      <c r="L16" s="130" t="s">
        <v>350</v>
      </c>
      <c r="M16" s="130" t="s">
        <v>406</v>
      </c>
      <c r="N16" s="130" t="s">
        <v>407</v>
      </c>
      <c r="O16" s="123"/>
      <c r="P16" s="44"/>
      <c r="Q16" s="141"/>
      <c r="R16" s="44"/>
      <c r="S16" s="44"/>
      <c r="T16" s="123"/>
      <c r="U16" s="123"/>
    </row>
    <row r="17">
      <c r="A17" s="123"/>
      <c r="B17" s="123"/>
      <c r="C17" s="123"/>
      <c r="D17" s="123"/>
      <c r="E17" s="123"/>
      <c r="F17" s="123"/>
      <c r="G17" s="123"/>
      <c r="H17" s="123"/>
      <c r="I17" s="129" t="s">
        <v>408</v>
      </c>
      <c r="J17" s="130" t="s">
        <v>368</v>
      </c>
      <c r="K17" s="130" t="s">
        <v>409</v>
      </c>
      <c r="L17" s="130" t="s">
        <v>379</v>
      </c>
      <c r="M17" s="131" t="s">
        <v>410</v>
      </c>
      <c r="N17" s="130" t="s">
        <v>411</v>
      </c>
      <c r="O17" s="123"/>
      <c r="P17" s="44"/>
      <c r="Q17" s="141"/>
      <c r="R17" s="44"/>
      <c r="S17" s="44"/>
      <c r="T17" s="123"/>
      <c r="U17" s="123"/>
    </row>
    <row r="18">
      <c r="A18" s="123"/>
      <c r="B18" s="123"/>
      <c r="C18" s="123"/>
      <c r="D18" s="117" t="s">
        <v>310</v>
      </c>
      <c r="E18" s="117" t="s">
        <v>311</v>
      </c>
      <c r="F18" s="117" t="s">
        <v>312</v>
      </c>
      <c r="G18" s="117" t="s">
        <v>313</v>
      </c>
      <c r="H18" s="123"/>
      <c r="I18" s="129" t="s">
        <v>412</v>
      </c>
      <c r="J18" s="130" t="s">
        <v>368</v>
      </c>
      <c r="K18" s="130" t="s">
        <v>413</v>
      </c>
      <c r="L18" s="130" t="s">
        <v>370</v>
      </c>
      <c r="M18" s="130" t="s">
        <v>414</v>
      </c>
      <c r="N18" s="130" t="s">
        <v>415</v>
      </c>
      <c r="O18" s="123"/>
      <c r="P18" s="123"/>
      <c r="Q18" s="123"/>
      <c r="R18" s="123"/>
      <c r="S18" s="123"/>
      <c r="T18" s="123"/>
      <c r="U18" s="123"/>
    </row>
    <row r="19">
      <c r="A19" s="123"/>
      <c r="B19" s="123"/>
      <c r="C19" s="123"/>
      <c r="D19" s="117" t="s">
        <v>394</v>
      </c>
      <c r="E19" s="145"/>
      <c r="F19" s="145"/>
      <c r="G19" s="145"/>
      <c r="H19" s="123"/>
      <c r="I19" s="129" t="s">
        <v>416</v>
      </c>
      <c r="J19" s="130" t="s">
        <v>368</v>
      </c>
      <c r="K19" s="130" t="s">
        <v>417</v>
      </c>
      <c r="L19" s="130" t="s">
        <v>379</v>
      </c>
      <c r="M19" s="130" t="s">
        <v>418</v>
      </c>
      <c r="N19" s="130" t="s">
        <v>419</v>
      </c>
      <c r="O19" s="123"/>
      <c r="P19" s="123"/>
      <c r="Q19" s="123"/>
      <c r="R19" s="123"/>
      <c r="S19" s="123"/>
      <c r="T19" s="123"/>
      <c r="U19" s="123"/>
    </row>
    <row r="20">
      <c r="A20" s="123"/>
      <c r="B20" s="123"/>
      <c r="C20" s="123"/>
      <c r="D20" s="145"/>
      <c r="E20" s="145"/>
      <c r="F20" s="145"/>
      <c r="G20" s="145"/>
      <c r="H20" s="123"/>
      <c r="I20" s="129" t="s">
        <v>420</v>
      </c>
      <c r="J20" s="130" t="s">
        <v>368</v>
      </c>
      <c r="K20" s="130" t="s">
        <v>421</v>
      </c>
      <c r="L20" s="130" t="s">
        <v>379</v>
      </c>
      <c r="M20" s="130" t="s">
        <v>422</v>
      </c>
      <c r="N20" s="130" t="s">
        <v>423</v>
      </c>
      <c r="O20" s="123"/>
      <c r="P20" s="123"/>
      <c r="R20" s="123"/>
      <c r="S20" s="123"/>
      <c r="T20" s="123"/>
      <c r="U20" s="123"/>
    </row>
    <row r="21">
      <c r="A21" s="123"/>
      <c r="B21" s="123"/>
      <c r="C21" s="123"/>
      <c r="D21" s="145"/>
      <c r="E21" s="145"/>
      <c r="F21" s="145"/>
      <c r="G21" s="145"/>
      <c r="H21" s="123"/>
      <c r="I21" s="129" t="s">
        <v>424</v>
      </c>
      <c r="J21" s="130" t="s">
        <v>368</v>
      </c>
      <c r="K21" s="130" t="s">
        <v>425</v>
      </c>
      <c r="L21" s="130" t="s">
        <v>426</v>
      </c>
      <c r="M21" s="130" t="s">
        <v>427</v>
      </c>
      <c r="N21" s="130" t="s">
        <v>428</v>
      </c>
      <c r="O21" s="123"/>
      <c r="P21" s="123"/>
      <c r="Q21" s="123"/>
      <c r="R21" s="123"/>
      <c r="S21" s="123"/>
      <c r="T21" s="123"/>
      <c r="U21" s="123"/>
    </row>
    <row r="22">
      <c r="A22" s="123"/>
      <c r="B22" s="123"/>
      <c r="C22" s="123"/>
      <c r="D22" s="145"/>
      <c r="E22" s="145"/>
      <c r="F22" s="145"/>
      <c r="G22" s="145"/>
      <c r="H22" s="123"/>
      <c r="I22" s="146" t="s">
        <v>429</v>
      </c>
      <c r="J22" s="130" t="s">
        <v>368</v>
      </c>
      <c r="K22" s="130" t="s">
        <v>430</v>
      </c>
      <c r="L22" s="130" t="s">
        <v>379</v>
      </c>
      <c r="M22" s="130" t="s">
        <v>431</v>
      </c>
      <c r="N22" s="130" t="s">
        <v>432</v>
      </c>
      <c r="O22" s="123"/>
      <c r="P22" s="123"/>
      <c r="Q22" s="123"/>
      <c r="R22" s="123"/>
      <c r="S22" s="123"/>
      <c r="T22" s="123"/>
      <c r="U22" s="123"/>
    </row>
    <row r="23">
      <c r="A23" s="123"/>
      <c r="B23" s="123"/>
      <c r="C23" s="123"/>
      <c r="D23" s="145"/>
      <c r="E23" s="145"/>
      <c r="F23" s="145"/>
      <c r="G23" s="145"/>
      <c r="H23" s="123"/>
      <c r="I23" s="147" t="s">
        <v>433</v>
      </c>
      <c r="J23" s="136" t="s">
        <v>368</v>
      </c>
      <c r="K23" s="136" t="s">
        <v>434</v>
      </c>
      <c r="L23" s="136" t="s">
        <v>350</v>
      </c>
      <c r="M23" s="136" t="s">
        <v>435</v>
      </c>
      <c r="N23" s="136" t="s">
        <v>436</v>
      </c>
      <c r="O23" s="123"/>
      <c r="P23" s="123"/>
      <c r="Q23" s="123"/>
      <c r="R23" s="123"/>
      <c r="S23" s="123"/>
      <c r="T23" s="123"/>
      <c r="U23" s="123"/>
    </row>
    <row r="24">
      <c r="A24" s="123"/>
      <c r="B24" s="123"/>
      <c r="C24" s="123"/>
      <c r="D24" s="145"/>
      <c r="E24" s="145"/>
      <c r="F24" s="145"/>
      <c r="G24" s="145"/>
      <c r="H24" s="123"/>
      <c r="O24" s="123"/>
      <c r="P24" s="123"/>
      <c r="Q24" s="123"/>
      <c r="R24" s="123"/>
      <c r="S24" s="123"/>
      <c r="T24" s="123"/>
      <c r="U24" s="123"/>
    </row>
    <row r="25">
      <c r="A25" s="123"/>
      <c r="B25" s="123"/>
      <c r="C25" s="123"/>
      <c r="D25" s="145"/>
      <c r="E25" s="145"/>
      <c r="F25" s="145"/>
      <c r="G25" s="145"/>
      <c r="H25" s="123"/>
      <c r="I25" s="123"/>
      <c r="J25" s="123"/>
      <c r="K25" s="124"/>
      <c r="L25" s="123"/>
      <c r="M25" s="123"/>
      <c r="N25" s="123"/>
      <c r="O25" s="123"/>
      <c r="P25" s="123"/>
      <c r="Q25" s="123"/>
      <c r="R25" s="123"/>
      <c r="S25" s="123"/>
      <c r="T25" s="123"/>
      <c r="U25" s="123"/>
    </row>
    <row r="26">
      <c r="A26" s="123"/>
      <c r="B26" s="123"/>
      <c r="C26" s="123"/>
      <c r="D26" s="145"/>
      <c r="E26" s="145"/>
      <c r="F26" s="145"/>
      <c r="G26" s="145"/>
      <c r="H26" s="123"/>
      <c r="I26" s="123"/>
      <c r="J26" s="123"/>
      <c r="K26" s="124"/>
      <c r="L26" s="123"/>
      <c r="M26" s="123"/>
      <c r="N26" s="123"/>
      <c r="O26" s="123"/>
      <c r="P26" s="123"/>
      <c r="Q26" s="123"/>
      <c r="R26" s="123"/>
      <c r="S26" s="123"/>
      <c r="T26" s="123"/>
      <c r="U26" s="12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8" t="str">
        <f>'Project Team'!A1</f>
        <v>Last Name</v>
      </c>
      <c r="B1" s="148" t="str">
        <f>'Project Team'!B1</f>
        <v>First Name</v>
      </c>
      <c r="C1" s="149" t="s">
        <v>437</v>
      </c>
      <c r="D1" s="150"/>
      <c r="E1" s="151"/>
      <c r="F1" s="152"/>
      <c r="G1" s="153"/>
      <c r="H1" s="153"/>
    </row>
    <row r="2">
      <c r="A2" s="154" t="str">
        <f>'Project Team'!A2</f>
        <v>Böhm</v>
      </c>
      <c r="B2" s="154" t="str">
        <f>'Project Team'!B2</f>
        <v>Luca</v>
      </c>
      <c r="C2" s="155"/>
      <c r="D2" s="156"/>
      <c r="E2" s="157" t="str">
        <f>average(C2:C10)</f>
        <v>#DIV/0!</v>
      </c>
      <c r="F2" s="158" t="str">
        <f>if(stdev(C2:C7) &gt; 0,"NOK", "OK")</f>
        <v>#DIV/0!</v>
      </c>
      <c r="G2" s="159"/>
      <c r="H2" s="159"/>
    </row>
    <row r="3">
      <c r="A3" s="160" t="str">
        <f>'Project Team'!A3</f>
        <v>Meusling</v>
      </c>
      <c r="B3" s="160" t="str">
        <f>'Project Team'!B3</f>
        <v>Patrick</v>
      </c>
      <c r="C3" s="155"/>
      <c r="D3" s="161"/>
      <c r="G3" s="162"/>
      <c r="H3" s="162"/>
    </row>
    <row r="4">
      <c r="A4" s="154" t="str">
        <f>'Project Team'!A4</f>
        <v>Arifin</v>
      </c>
      <c r="B4" s="154" t="str">
        <f>'Project Team'!B4</f>
        <v>Hafidz</v>
      </c>
      <c r="C4" s="163"/>
      <c r="D4" s="156"/>
      <c r="G4" s="159"/>
      <c r="H4" s="159"/>
    </row>
    <row r="5">
      <c r="A5" s="160" t="str">
        <f>'Project Team'!A5</f>
        <v>Huy</v>
      </c>
      <c r="B5" s="160" t="str">
        <f>'Project Team'!B5</f>
        <v>Christoph</v>
      </c>
      <c r="C5" s="155"/>
      <c r="D5" s="164"/>
      <c r="E5" s="164"/>
      <c r="F5" s="164"/>
      <c r="G5" s="162"/>
      <c r="H5" s="162"/>
    </row>
    <row r="6">
      <c r="A6" s="154" t="str">
        <f>'Project Team'!A6</f>
        <v>Selbig</v>
      </c>
      <c r="B6" s="154" t="str">
        <f>'Project Team'!B6</f>
        <v>Simon</v>
      </c>
      <c r="C6" s="155"/>
      <c r="D6" s="165"/>
      <c r="E6" s="166">
        <v>0.0</v>
      </c>
      <c r="F6" s="167" t="s">
        <v>438</v>
      </c>
      <c r="G6" s="159"/>
      <c r="H6" s="159"/>
    </row>
    <row r="7">
      <c r="A7" s="160" t="str">
        <f>'Project Team'!A7</f>
        <v>Haseeb</v>
      </c>
      <c r="B7" s="160" t="str">
        <f>'Project Team'!B7</f>
        <v>Abdul</v>
      </c>
      <c r="C7" s="155"/>
      <c r="D7" s="164"/>
      <c r="E7" s="166">
        <v>1.0</v>
      </c>
      <c r="F7" s="167" t="s">
        <v>439</v>
      </c>
      <c r="G7" s="162"/>
      <c r="H7" s="162"/>
    </row>
    <row r="8">
      <c r="A8" s="154" t="str">
        <f>'Project Team'!A8</f>
        <v>Pohnke</v>
      </c>
      <c r="B8" s="154" t="str">
        <f>'Project Team'!B8</f>
        <v>Hannes</v>
      </c>
      <c r="C8" s="155"/>
      <c r="D8" s="165"/>
      <c r="E8" s="166">
        <v>2.0</v>
      </c>
      <c r="F8" s="167" t="s">
        <v>440</v>
      </c>
      <c r="G8" s="159"/>
      <c r="H8" s="159"/>
    </row>
    <row r="9">
      <c r="A9" s="160" t="str">
        <f>'Project Team'!A9</f>
        <v>Jokiel</v>
      </c>
      <c r="B9" s="160" t="str">
        <f>'Project Team'!B9</f>
        <v>Rene</v>
      </c>
      <c r="C9" s="155"/>
      <c r="D9" s="164"/>
      <c r="E9" s="166">
        <v>3.0</v>
      </c>
      <c r="F9" s="167" t="s">
        <v>441</v>
      </c>
      <c r="G9" s="162"/>
      <c r="H9" s="162"/>
    </row>
    <row r="10">
      <c r="A10" s="154" t="str">
        <f>'Project Team'!A10</f>
        <v>Khabouze</v>
      </c>
      <c r="B10" s="154" t="str">
        <f>'Project Team'!B10</f>
        <v>Mehdi</v>
      </c>
      <c r="C10" s="155"/>
      <c r="D10" s="165"/>
      <c r="E10" s="166">
        <v>5.0</v>
      </c>
      <c r="F10" s="167" t="s">
        <v>442</v>
      </c>
      <c r="G10" s="159"/>
      <c r="H10" s="159"/>
    </row>
    <row r="11">
      <c r="A11" s="160"/>
      <c r="B11" s="160"/>
      <c r="C11" s="163"/>
      <c r="D11" s="164"/>
      <c r="E11" s="166">
        <v>8.0</v>
      </c>
      <c r="F11" s="167" t="s">
        <v>443</v>
      </c>
      <c r="G11" s="162"/>
      <c r="H11" s="162"/>
    </row>
    <row r="12">
      <c r="A12" s="154"/>
      <c r="B12" s="154"/>
      <c r="C12" s="163"/>
      <c r="D12" s="165"/>
      <c r="E12" s="166">
        <v>13.0</v>
      </c>
      <c r="F12" s="167" t="s">
        <v>444</v>
      </c>
      <c r="G12" s="159"/>
      <c r="H12" s="159"/>
    </row>
    <row r="13">
      <c r="A13" s="160"/>
      <c r="B13" s="160"/>
      <c r="C13" s="164"/>
      <c r="D13" s="164"/>
      <c r="E13" s="164"/>
      <c r="F13" s="164"/>
      <c r="G13" s="162"/>
      <c r="H13" s="162"/>
    </row>
    <row r="14">
      <c r="A14" s="168" t="s">
        <v>445</v>
      </c>
      <c r="B14" s="169"/>
      <c r="C14" s="169"/>
      <c r="D14" s="169"/>
      <c r="E14" s="169"/>
      <c r="F14" s="169"/>
      <c r="G14" s="169"/>
      <c r="H14" s="169"/>
    </row>
    <row r="15">
      <c r="A15" s="170"/>
      <c r="B15" s="170"/>
      <c r="C15" s="170"/>
      <c r="D15" s="170"/>
      <c r="E15" s="170"/>
      <c r="F15" s="170"/>
      <c r="G15" s="170"/>
      <c r="H15" s="170"/>
    </row>
    <row r="16">
      <c r="A16" s="171" t="s">
        <v>446</v>
      </c>
      <c r="B16" s="172"/>
      <c r="C16" s="172"/>
      <c r="D16" s="172"/>
      <c r="E16" s="172"/>
      <c r="F16" s="172"/>
      <c r="G16" s="172"/>
      <c r="H16" s="172"/>
    </row>
    <row r="17">
      <c r="A17" s="173" t="s">
        <v>447</v>
      </c>
      <c r="B17" s="170"/>
      <c r="C17" s="170"/>
      <c r="D17" s="170"/>
      <c r="E17" s="170"/>
      <c r="F17" s="170"/>
      <c r="G17" s="170"/>
      <c r="H17" s="170"/>
    </row>
    <row r="18">
      <c r="A18" s="171" t="s">
        <v>448</v>
      </c>
      <c r="B18" s="172"/>
      <c r="C18" s="172"/>
      <c r="D18" s="172"/>
      <c r="E18" s="172"/>
      <c r="F18" s="172"/>
      <c r="G18" s="172"/>
      <c r="H18" s="172"/>
    </row>
    <row r="19">
      <c r="A19" s="170"/>
      <c r="B19" s="170"/>
      <c r="C19" s="170"/>
      <c r="D19" s="170"/>
      <c r="E19" s="170"/>
      <c r="F19" s="170"/>
      <c r="G19" s="170"/>
      <c r="H19" s="170"/>
    </row>
    <row r="20">
      <c r="A20" s="172"/>
      <c r="B20" s="172"/>
      <c r="C20" s="172"/>
      <c r="D20" s="172"/>
      <c r="E20" s="172"/>
      <c r="F20" s="172"/>
      <c r="G20" s="172"/>
      <c r="H20" s="17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